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set" sheetId="1" state="visible" r:id="rId1"/>
    <sheet xmlns:r="http://schemas.openxmlformats.org/officeDocument/2006/relationships" name="Staging_Worksheet" sheetId="2" state="visible" r:id="rId2"/>
    <sheet xmlns:r="http://schemas.openxmlformats.org/officeDocument/2006/relationships" name="Executive_Dashboard" sheetId="3" state="visible" r:id="rId3"/>
    <sheet xmlns:r="http://schemas.openxmlformats.org/officeDocument/2006/relationships" name="Data_Look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6"/>
    </font>
    <font>
      <name val="Segoe UI"/>
      <color rgb="00555555"/>
      <sz val="9"/>
    </font>
    <font>
      <name val="Segoe UI"/>
      <b val="1"/>
      <color rgb="00004D40"/>
      <sz val="20"/>
    </font>
    <font>
      <name val="Segoe UI"/>
      <b val="1"/>
      <sz val="11"/>
    </font>
    <font>
      <name val="Segoe UI"/>
      <b val="1"/>
      <color rgb="00004D40"/>
      <sz val="11"/>
    </font>
  </fonts>
  <fills count="6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  <fill>
      <patternFill patternType="solid">
        <fgColor rgb="00E0F2F1"/>
        <bgColor rgb="00E0F2F1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004D40"/>
      </top>
      <bottom style="thin">
        <color rgb="00CCCCCC"/>
      </bottom>
    </border>
    <border>
      <left/>
      <right/>
      <top style="medium">
        <color rgb="00004D40"/>
      </top>
      <bottom/>
      <diagonal/>
    </border>
    <border>
      <left/>
      <right style="thin">
        <color rgb="00CCCCCC"/>
      </right>
      <top style="medium">
        <color rgb="00004D40"/>
      </top>
      <bottom/>
      <diagonal/>
    </border>
    <border>
      <left/>
      <right style="thin">
        <color rgb="00CCCCCC"/>
      </right>
      <top style="medium">
        <color rgb="00004D40"/>
      </top>
      <bottom style="thin">
        <color rgb="00CCCCCC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0" pivotButton="0" quotePrefix="0" xfId="0"/>
    <xf numFmtId="0" fontId="2" fillId="0" borderId="0" pivotButton="0" quotePrefix="0" xfId="0"/>
    <xf numFmtId="3" fontId="6" fillId="0" borderId="6" applyAlignment="1" pivotButton="0" quotePrefix="0" xfId="0">
      <alignment horizontal="right" vertical="center"/>
    </xf>
    <xf numFmtId="165" fontId="6" fillId="0" borderId="6" applyAlignment="1" pivotButton="0" quotePrefix="0" xfId="0">
      <alignment horizontal="right" vertical="center"/>
    </xf>
    <xf numFmtId="1" fontId="6" fillId="0" borderId="6" applyAlignment="1" pivotButton="0" quotePrefix="0" xfId="0">
      <alignment horizontal="right" vertical="center"/>
    </xf>
    <xf numFmtId="164" fontId="6" fillId="0" borderId="6" applyAlignment="1" pivotButton="0" quotePrefix="0" xfId="0">
      <alignment horizontal="right" vertical="center"/>
    </xf>
    <xf numFmtId="0" fontId="7" fillId="0" borderId="0" pivotButton="0" quotePrefix="0" xfId="0"/>
    <xf numFmtId="0" fontId="6" fillId="5" borderId="0" pivotButton="0" quotePrefix="0" xfId="0"/>
    <xf numFmtId="0" fontId="6" fillId="0" borderId="6" pivotButton="0" quotePrefix="0" xfId="0"/>
    <xf numFmtId="164" fontId="6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eanedTransactions" displayName="CleanedTransactions" ref="A1:P851" headerRowCount="1">
  <autoFilter ref="A1:P851"/>
  <tableColumns count="16">
    <tableColumn id="1" name="Transaction_ID"/>
    <tableColumn id="2" name="Customer_ID"/>
    <tableColumn id="3" name="Timestamp"/>
    <tableColumn id="4" name="Transaction_Date"/>
    <tableColumn id="5" name="Transaction_Hour"/>
    <tableColumn id="6" name="Cust_Gender"/>
    <tableColumn id="7" name="Cust_Age"/>
    <tableColumn id="8" name="Age_Tier"/>
    <tableColumn id="9" name="Account_Type"/>
    <tableColumn id="10" name="Category"/>
    <tableColumn id="11" name="Amount_USD"/>
    <tableColumn id="12" name="Post_Transaction_Balance"/>
    <tableColumn id="13" name="Channel"/>
    <tableColumn id="14" name="Flagged_Fraud"/>
    <tableColumn id="15" name="Day_of_Week"/>
    <tableColumn id="16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5" customWidth="1" min="4" max="4"/>
    <col width="12" customWidth="1" min="5" max="5"/>
    <col width="16" customWidth="1" min="6" max="6"/>
    <col width="17" customWidth="1" min="7" max="7"/>
    <col width="14" customWidth="1" min="8" max="8"/>
    <col width="28" customWidth="1" min="9" max="9"/>
    <col width="18" customWidth="1" min="10" max="10"/>
    <col width="17" customWidth="1" min="11" max="11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Timestamp</t>
        </is>
      </c>
      <c r="D1" s="1" t="inlineStr">
        <is>
          <t>Cust_Gender</t>
        </is>
      </c>
      <c r="E1" s="1" t="inlineStr">
        <is>
          <t>Cust_Age</t>
        </is>
      </c>
      <c r="F1" s="1" t="inlineStr">
        <is>
          <t>Account_Type</t>
        </is>
      </c>
      <c r="G1" s="1" t="inlineStr">
        <is>
          <t>Category</t>
        </is>
      </c>
      <c r="H1" s="1" t="inlineStr">
        <is>
          <t>Amount_USD</t>
        </is>
      </c>
      <c r="I1" s="1" t="inlineStr">
        <is>
          <t>Post_Transaction_Balance</t>
        </is>
      </c>
      <c r="J1" s="1" t="inlineStr">
        <is>
          <t>Channel</t>
        </is>
      </c>
      <c r="K1" s="1" t="inlineStr">
        <is>
          <t>Flagged_Fraud</t>
        </is>
      </c>
    </row>
    <row r="2">
      <c r="A2" s="2" t="inlineStr">
        <is>
          <t>TXN100002</t>
        </is>
      </c>
      <c r="B2" s="2" t="inlineStr">
        <is>
          <t xml:space="preserve">  CUST0002 </t>
        </is>
      </c>
      <c r="C2" s="2" t="inlineStr">
        <is>
          <t>2026-06-01 20:07:00</t>
        </is>
      </c>
      <c r="D2" s="2" t="inlineStr">
        <is>
          <t>M</t>
        </is>
      </c>
      <c r="E2" s="2" t="n">
        <v>67</v>
      </c>
      <c r="F2" s="2" t="inlineStr">
        <is>
          <t>Checking</t>
        </is>
      </c>
      <c r="G2" s="2" t="inlineStr">
        <is>
          <t>GROCERIES</t>
        </is>
      </c>
      <c r="H2" s="2" t="inlineStr">
        <is>
          <t>$1793.45</t>
        </is>
      </c>
      <c r="I2" s="2" t="n">
        <v>36955.33</v>
      </c>
      <c r="J2" s="2" t="inlineStr">
        <is>
          <t xml:space="preserve">Mobile App </t>
        </is>
      </c>
      <c r="K2" s="2" t="inlineStr">
        <is>
          <t>N</t>
        </is>
      </c>
    </row>
    <row r="3">
      <c r="A3" s="2" t="inlineStr">
        <is>
          <t>TXN100003</t>
        </is>
      </c>
      <c r="B3" s="2" t="inlineStr">
        <is>
          <t xml:space="preserve">  CUST0003 </t>
        </is>
      </c>
      <c r="C3" s="2" t="inlineStr">
        <is>
          <t>2026-06-01 18:27:00</t>
        </is>
      </c>
      <c r="D3" s="2" t="inlineStr">
        <is>
          <t>M</t>
        </is>
      </c>
      <c r="E3" s="2" t="n">
        <v>21</v>
      </c>
      <c r="F3" s="2" t="inlineStr">
        <is>
          <t>Savings</t>
        </is>
      </c>
      <c r="G3" s="2" t="inlineStr">
        <is>
          <t>GROCERIES</t>
        </is>
      </c>
      <c r="H3" s="2" t="inlineStr">
        <is>
          <t>$1868.96</t>
        </is>
      </c>
      <c r="I3" s="2" t="n">
        <v>30299.93</v>
      </c>
      <c r="J3" s="2" t="inlineStr">
        <is>
          <t>Online Banking</t>
        </is>
      </c>
      <c r="K3" s="2" t="inlineStr">
        <is>
          <t>N</t>
        </is>
      </c>
    </row>
    <row r="4">
      <c r="A4" s="2" t="inlineStr">
        <is>
          <t>TXN100004</t>
        </is>
      </c>
      <c r="B4" s="2" t="inlineStr">
        <is>
          <t xml:space="preserve">  CUST0004 </t>
        </is>
      </c>
      <c r="C4" s="2" t="inlineStr">
        <is>
          <t>2026-06-01 22:41:00</t>
        </is>
      </c>
      <c r="D4" s="3" t="inlineStr"/>
      <c r="E4" s="2" t="n">
        <v>34</v>
      </c>
      <c r="F4" s="2" t="inlineStr">
        <is>
          <t>Checking</t>
        </is>
      </c>
      <c r="G4" s="2" t="inlineStr">
        <is>
          <t>Travel</t>
        </is>
      </c>
      <c r="H4" s="2" t="inlineStr">
        <is>
          <t>$2232.74</t>
        </is>
      </c>
      <c r="I4" s="2" t="n">
        <v>43530.37</v>
      </c>
      <c r="J4" s="2" t="inlineStr">
        <is>
          <t>Online Banking</t>
        </is>
      </c>
      <c r="K4" s="2" t="inlineStr">
        <is>
          <t>N</t>
        </is>
      </c>
    </row>
    <row r="5">
      <c r="A5" s="2" t="inlineStr">
        <is>
          <t>TXN100005</t>
        </is>
      </c>
      <c r="B5" s="2" t="inlineStr">
        <is>
          <t xml:space="preserve">  CUST0005 </t>
        </is>
      </c>
      <c r="C5" s="2" t="inlineStr">
        <is>
          <t>2026-06-01 22:27:00</t>
        </is>
      </c>
      <c r="D5" s="2" t="inlineStr">
        <is>
          <t>Female</t>
        </is>
      </c>
      <c r="E5" s="2" t="n">
        <v>37</v>
      </c>
      <c r="F5" s="2" t="inlineStr">
        <is>
          <t>Savings</t>
        </is>
      </c>
      <c r="G5" s="2" t="inlineStr">
        <is>
          <t>GROCERIES</t>
        </is>
      </c>
      <c r="H5" s="2" t="inlineStr">
        <is>
          <t>$7658.13</t>
        </is>
      </c>
      <c r="I5" s="2" t="n">
        <v>17161.43</v>
      </c>
      <c r="J5" s="2" t="inlineStr">
        <is>
          <t xml:space="preserve">Mobile App </t>
        </is>
      </c>
      <c r="K5" s="2" t="inlineStr">
        <is>
          <t>N</t>
        </is>
      </c>
    </row>
    <row r="6">
      <c r="A6" s="2" t="inlineStr">
        <is>
          <t>TXN100006</t>
        </is>
      </c>
      <c r="B6" s="2" t="inlineStr">
        <is>
          <t xml:space="preserve">  CUST0006 </t>
        </is>
      </c>
      <c r="C6" s="2" t="inlineStr">
        <is>
          <t>2026-06-01 11:54:00</t>
        </is>
      </c>
      <c r="D6" s="2" t="inlineStr">
        <is>
          <t>Female</t>
        </is>
      </c>
      <c r="E6" s="2" t="n">
        <v>58</v>
      </c>
      <c r="F6" s="2" t="inlineStr">
        <is>
          <t>Checking</t>
        </is>
      </c>
      <c r="G6" s="2" t="inlineStr">
        <is>
          <t>groceries</t>
        </is>
      </c>
      <c r="H6" s="2" t="inlineStr">
        <is>
          <t>$5840.56</t>
        </is>
      </c>
      <c r="I6" s="2" t="n">
        <v>27043.29</v>
      </c>
      <c r="J6" s="2" t="inlineStr">
        <is>
          <t>ATM</t>
        </is>
      </c>
      <c r="K6" s="2" t="inlineStr">
        <is>
          <t>N</t>
        </is>
      </c>
    </row>
    <row r="7">
      <c r="A7" s="2" t="inlineStr">
        <is>
          <t>TXN100007</t>
        </is>
      </c>
      <c r="B7" s="2" t="inlineStr">
        <is>
          <t xml:space="preserve">  CUST0007 </t>
        </is>
      </c>
      <c r="C7" s="2" t="inlineStr">
        <is>
          <t>2026-06-01 02:35:00</t>
        </is>
      </c>
      <c r="D7" s="2" t="inlineStr">
        <is>
          <t>female</t>
        </is>
      </c>
      <c r="E7" s="2" t="n">
        <v>73</v>
      </c>
      <c r="F7" s="2" t="inlineStr">
        <is>
          <t>Investment</t>
        </is>
      </c>
      <c r="G7" s="2" t="inlineStr">
        <is>
          <t>Travel</t>
        </is>
      </c>
      <c r="H7" s="2" t="inlineStr">
        <is>
          <t>$7084.76</t>
        </is>
      </c>
      <c r="I7" s="2" t="n">
        <v>18400.93</v>
      </c>
      <c r="J7" s="2" t="inlineStr">
        <is>
          <t>Online Banking</t>
        </is>
      </c>
      <c r="K7" s="2" t="inlineStr">
        <is>
          <t>Y</t>
        </is>
      </c>
    </row>
    <row r="8">
      <c r="A8" s="2" t="inlineStr">
        <is>
          <t>TXN100008</t>
        </is>
      </c>
      <c r="B8" s="2" t="inlineStr">
        <is>
          <t xml:space="preserve">  CUST0008 </t>
        </is>
      </c>
      <c r="C8" s="2" t="inlineStr">
        <is>
          <t>2026-06-01 01:42:00</t>
        </is>
      </c>
      <c r="D8" s="2" t="inlineStr">
        <is>
          <t>F</t>
        </is>
      </c>
      <c r="E8" s="2" t="n">
        <v>69</v>
      </c>
      <c r="F8" s="2" t="inlineStr">
        <is>
          <t>Checking</t>
        </is>
      </c>
      <c r="G8" s="2" t="inlineStr">
        <is>
          <t>groceries</t>
        </is>
      </c>
      <c r="H8" s="2" t="inlineStr">
        <is>
          <t>$6843.99</t>
        </is>
      </c>
      <c r="I8" s="2" t="n">
        <v>43390.94</v>
      </c>
      <c r="J8" s="2" t="inlineStr">
        <is>
          <t>ATM</t>
        </is>
      </c>
      <c r="K8" s="2" t="inlineStr">
        <is>
          <t>N</t>
        </is>
      </c>
    </row>
    <row r="9">
      <c r="A9" s="2" t="inlineStr">
        <is>
          <t>TXN100009</t>
        </is>
      </c>
      <c r="B9" s="2" t="inlineStr">
        <is>
          <t xml:space="preserve">  CUST0009 </t>
        </is>
      </c>
      <c r="C9" s="2" t="inlineStr">
        <is>
          <t>2026-06-01 08:29:00</t>
        </is>
      </c>
      <c r="D9" s="2" t="inlineStr">
        <is>
          <t>Female</t>
        </is>
      </c>
      <c r="E9" s="2" t="n">
        <v>30</v>
      </c>
      <c r="F9" s="2" t="inlineStr">
        <is>
          <t>Checking</t>
        </is>
      </c>
      <c r="G9" s="2" t="inlineStr">
        <is>
          <t>Entertainment</t>
        </is>
      </c>
      <c r="H9" s="2" t="inlineStr">
        <is>
          <t>$1683.96</t>
        </is>
      </c>
      <c r="I9" s="2" t="n">
        <v>13715.4</v>
      </c>
      <c r="J9" s="2" t="inlineStr">
        <is>
          <t xml:space="preserve">Mobile App </t>
        </is>
      </c>
      <c r="K9" s="2" t="inlineStr">
        <is>
          <t>N</t>
        </is>
      </c>
    </row>
    <row r="10">
      <c r="A10" s="2" t="inlineStr">
        <is>
          <t>TXN100010</t>
        </is>
      </c>
      <c r="B10" s="2" t="inlineStr">
        <is>
          <t xml:space="preserve">  CUST0010 </t>
        </is>
      </c>
      <c r="C10" s="2" t="inlineStr">
        <is>
          <t>2026-06-01 19:40:00</t>
        </is>
      </c>
      <c r="D10" s="2" t="inlineStr">
        <is>
          <t>Male</t>
        </is>
      </c>
      <c r="E10" s="2" t="n">
        <v>54</v>
      </c>
      <c r="F10" s="2" t="inlineStr">
        <is>
          <t>Investment</t>
        </is>
      </c>
      <c r="G10" s="2" t="inlineStr">
        <is>
          <t>GROCERIES</t>
        </is>
      </c>
      <c r="H10" s="2" t="inlineStr">
        <is>
          <t>$1315.59</t>
        </is>
      </c>
      <c r="I10" s="2" t="n">
        <v>19283.04</v>
      </c>
      <c r="J10" s="2" t="inlineStr">
        <is>
          <t>Online Banking</t>
        </is>
      </c>
      <c r="K10" s="2" t="inlineStr">
        <is>
          <t>N</t>
        </is>
      </c>
    </row>
    <row r="11">
      <c r="A11" s="2" t="inlineStr">
        <is>
          <t>TXN100011</t>
        </is>
      </c>
      <c r="B11" s="2" t="inlineStr">
        <is>
          <t xml:space="preserve">  CUST0011 </t>
        </is>
      </c>
      <c r="C11" s="2" t="inlineStr">
        <is>
          <t>2026-06-01 21:20:00</t>
        </is>
      </c>
      <c r="D11" s="2" t="inlineStr">
        <is>
          <t>M</t>
        </is>
      </c>
      <c r="E11" s="2" t="n">
        <v>34</v>
      </c>
      <c r="F11" s="2" t="inlineStr">
        <is>
          <t>Savings</t>
        </is>
      </c>
      <c r="G11" s="2" t="inlineStr">
        <is>
          <t>Entertainment</t>
        </is>
      </c>
      <c r="H11" s="2" t="inlineStr">
        <is>
          <t>$3215.31</t>
        </is>
      </c>
      <c r="I11" s="2" t="n">
        <v>3776.34</v>
      </c>
      <c r="J11" s="2" t="inlineStr">
        <is>
          <t>Branch Office</t>
        </is>
      </c>
      <c r="K11" s="2" t="inlineStr">
        <is>
          <t>N</t>
        </is>
      </c>
    </row>
    <row r="12">
      <c r="A12" s="2" t="inlineStr">
        <is>
          <t>TXN100012</t>
        </is>
      </c>
      <c r="B12" s="2" t="inlineStr">
        <is>
          <t xml:space="preserve">  CUST0012 </t>
        </is>
      </c>
      <c r="C12" s="2" t="inlineStr">
        <is>
          <t>2026-06-01 06:41:00</t>
        </is>
      </c>
      <c r="D12" s="2" t="n"/>
      <c r="E12" s="2" t="n">
        <v>45</v>
      </c>
      <c r="F12" s="2" t="inlineStr">
        <is>
          <t>Investment</t>
        </is>
      </c>
      <c r="G12" s="2" t="inlineStr">
        <is>
          <t>Utilities</t>
        </is>
      </c>
      <c r="H12" s="2" t="inlineStr">
        <is>
          <t>$1151.54</t>
        </is>
      </c>
      <c r="I12" s="2" t="n">
        <v>7411.7</v>
      </c>
      <c r="J12" s="2" t="inlineStr">
        <is>
          <t>Branch Office</t>
        </is>
      </c>
      <c r="K12" s="2" t="inlineStr">
        <is>
          <t>N</t>
        </is>
      </c>
    </row>
    <row r="13">
      <c r="A13" s="2" t="inlineStr">
        <is>
          <t>TXN100013</t>
        </is>
      </c>
      <c r="B13" s="2" t="inlineStr">
        <is>
          <t xml:space="preserve">  CUST0013 </t>
        </is>
      </c>
      <c r="C13" s="2" t="inlineStr">
        <is>
          <t>2026-06-01 23:37:00</t>
        </is>
      </c>
      <c r="D13" s="3" t="inlineStr"/>
      <c r="E13" s="2" t="n">
        <v>57</v>
      </c>
      <c r="F13" s="2" t="inlineStr">
        <is>
          <t>Checking</t>
        </is>
      </c>
      <c r="G13" s="2" t="inlineStr">
        <is>
          <t>Entertainment</t>
        </is>
      </c>
      <c r="H13" s="2" t="inlineStr">
        <is>
          <t>$1762.37</t>
        </is>
      </c>
      <c r="I13" s="2" t="n">
        <v>49878.11</v>
      </c>
      <c r="J13" s="2" t="inlineStr">
        <is>
          <t>ATM</t>
        </is>
      </c>
      <c r="K13" s="2" t="inlineStr">
        <is>
          <t>N</t>
        </is>
      </c>
    </row>
    <row r="14">
      <c r="A14" s="2" t="inlineStr">
        <is>
          <t>TXN100014</t>
        </is>
      </c>
      <c r="B14" s="2" t="inlineStr">
        <is>
          <t xml:space="preserve">  CUST0014 </t>
        </is>
      </c>
      <c r="C14" s="2" t="inlineStr">
        <is>
          <t>2026-06-01 02:48:00</t>
        </is>
      </c>
      <c r="D14" s="2" t="inlineStr">
        <is>
          <t>M</t>
        </is>
      </c>
      <c r="E14" s="2" t="n">
        <v>75</v>
      </c>
      <c r="F14" s="2" t="inlineStr">
        <is>
          <t>Savings</t>
        </is>
      </c>
      <c r="G14" s="2" t="inlineStr">
        <is>
          <t>GROCERIES</t>
        </is>
      </c>
      <c r="H14" s="2" t="inlineStr">
        <is>
          <t>$5023.29</t>
        </is>
      </c>
      <c r="I14" s="2" t="n">
        <v>39707.93</v>
      </c>
      <c r="J14" s="2" t="inlineStr">
        <is>
          <t>ATM</t>
        </is>
      </c>
      <c r="K14" s="2" t="inlineStr">
        <is>
          <t>N</t>
        </is>
      </c>
    </row>
    <row r="15">
      <c r="A15" s="2" t="inlineStr">
        <is>
          <t>TXN100014</t>
        </is>
      </c>
      <c r="B15" s="2" t="inlineStr">
        <is>
          <t xml:space="preserve">  CUST0015 </t>
        </is>
      </c>
      <c r="C15" s="2" t="inlineStr">
        <is>
          <t>2026-06-01 19:04:00</t>
        </is>
      </c>
      <c r="D15" s="3" t="inlineStr"/>
      <c r="E15" s="2" t="n">
        <v>44</v>
      </c>
      <c r="F15" s="2" t="inlineStr">
        <is>
          <t>Investment</t>
        </is>
      </c>
      <c r="G15" s="2" t="inlineStr">
        <is>
          <t>Utilities</t>
        </is>
      </c>
      <c r="H15" s="2" t="inlineStr">
        <is>
          <t>$4237.62</t>
        </is>
      </c>
      <c r="I15" s="2" t="n">
        <v>48568.38</v>
      </c>
      <c r="J15" s="2" t="inlineStr">
        <is>
          <t xml:space="preserve">Mobile App </t>
        </is>
      </c>
      <c r="K15" s="2" t="inlineStr">
        <is>
          <t>N</t>
        </is>
      </c>
    </row>
    <row r="16">
      <c r="A16" s="2" t="inlineStr">
        <is>
          <t>TXN100016</t>
        </is>
      </c>
      <c r="B16" s="2" t="inlineStr">
        <is>
          <t xml:space="preserve">  CUST0016 </t>
        </is>
      </c>
      <c r="C16" s="2" t="inlineStr">
        <is>
          <t>2026-06-01 21:46:00</t>
        </is>
      </c>
      <c r="D16" s="2" t="inlineStr">
        <is>
          <t>MALE</t>
        </is>
      </c>
      <c r="E16" s="2" t="n">
        <v>63</v>
      </c>
      <c r="F16" s="2" t="inlineStr">
        <is>
          <t>Investment</t>
        </is>
      </c>
      <c r="G16" s="2" t="inlineStr">
        <is>
          <t>Entertainment</t>
        </is>
      </c>
      <c r="H16" s="2" t="inlineStr">
        <is>
          <t>$6151.1</t>
        </is>
      </c>
      <c r="I16" s="2" t="n">
        <v>17338.69</v>
      </c>
      <c r="J16" s="2" t="inlineStr">
        <is>
          <t>Branch Office</t>
        </is>
      </c>
      <c r="K16" s="2" t="inlineStr">
        <is>
          <t>N</t>
        </is>
      </c>
    </row>
    <row r="17">
      <c r="A17" s="2" t="inlineStr">
        <is>
          <t>TXN100017</t>
        </is>
      </c>
      <c r="B17" s="2" t="inlineStr">
        <is>
          <t xml:space="preserve">  CUST0017 </t>
        </is>
      </c>
      <c r="C17" s="2" t="inlineStr">
        <is>
          <t>2026-06-01 13:10:00</t>
        </is>
      </c>
      <c r="D17" s="2" t="n"/>
      <c r="E17" s="2" t="n">
        <v>20</v>
      </c>
      <c r="F17" s="2" t="inlineStr">
        <is>
          <t>Investment</t>
        </is>
      </c>
      <c r="G17" s="2" t="inlineStr">
        <is>
          <t>Entertainment</t>
        </is>
      </c>
      <c r="H17" s="2" t="inlineStr">
        <is>
          <t>$7775.39</t>
        </is>
      </c>
      <c r="I17" s="2" t="n">
        <v>38217.13</v>
      </c>
      <c r="J17" s="2" t="inlineStr">
        <is>
          <t xml:space="preserve">Mobile App </t>
        </is>
      </c>
      <c r="K17" s="2" t="inlineStr">
        <is>
          <t>Y</t>
        </is>
      </c>
    </row>
    <row r="18">
      <c r="A18" s="2" t="inlineStr">
        <is>
          <t>TXN100018</t>
        </is>
      </c>
      <c r="B18" s="2" t="inlineStr">
        <is>
          <t xml:space="preserve">  CUST0018 </t>
        </is>
      </c>
      <c r="C18" s="2" t="inlineStr">
        <is>
          <t>2026-06-01 09:53:00</t>
        </is>
      </c>
      <c r="D18" s="2" t="inlineStr">
        <is>
          <t>F</t>
        </is>
      </c>
      <c r="E18" s="2" t="n">
        <v>29</v>
      </c>
      <c r="F18" s="2" t="inlineStr">
        <is>
          <t>Checking</t>
        </is>
      </c>
      <c r="G18" s="2" t="inlineStr">
        <is>
          <t>GROCERIES</t>
        </is>
      </c>
      <c r="H18" s="2" t="inlineStr">
        <is>
          <t>$4319.64</t>
        </is>
      </c>
      <c r="I18" s="2" t="n">
        <v>39042.01</v>
      </c>
      <c r="J18" s="2" t="inlineStr">
        <is>
          <t xml:space="preserve">Mobile App </t>
        </is>
      </c>
      <c r="K18" s="2" t="inlineStr">
        <is>
          <t>N</t>
        </is>
      </c>
    </row>
    <row r="19">
      <c r="A19" s="2" t="inlineStr">
        <is>
          <t>TXN100019</t>
        </is>
      </c>
      <c r="B19" s="2" t="inlineStr">
        <is>
          <t xml:space="preserve">  CUST0019 </t>
        </is>
      </c>
      <c r="C19" s="2" t="inlineStr">
        <is>
          <t>2026-06-01 19:20:00</t>
        </is>
      </c>
      <c r="D19" s="2" t="n"/>
      <c r="E19" s="2" t="n">
        <v>21</v>
      </c>
      <c r="F19" s="2" t="inlineStr">
        <is>
          <t>Savings</t>
        </is>
      </c>
      <c r="G19" s="2" t="inlineStr">
        <is>
          <t>Entertainment</t>
        </is>
      </c>
      <c r="H19" s="2" t="inlineStr">
        <is>
          <t>$7030.99</t>
        </is>
      </c>
      <c r="I19" s="2" t="n">
        <v>41667.44</v>
      </c>
      <c r="J19" s="2" t="inlineStr">
        <is>
          <t>Branch Office</t>
        </is>
      </c>
      <c r="K19" s="2" t="inlineStr">
        <is>
          <t>N</t>
        </is>
      </c>
    </row>
    <row r="20">
      <c r="A20" s="2" t="inlineStr">
        <is>
          <t>TXN100020</t>
        </is>
      </c>
      <c r="B20" s="2" t="inlineStr">
        <is>
          <t xml:space="preserve">  CUST0020 </t>
        </is>
      </c>
      <c r="C20" s="2" t="inlineStr">
        <is>
          <t>2026-06-01 07:56:00</t>
        </is>
      </c>
      <c r="D20" s="2" t="inlineStr">
        <is>
          <t>MALE</t>
        </is>
      </c>
      <c r="E20" s="2" t="n">
        <v>25</v>
      </c>
      <c r="F20" s="2" t="inlineStr">
        <is>
          <t>Investment</t>
        </is>
      </c>
      <c r="G20" s="2" t="inlineStr">
        <is>
          <t>Utilities</t>
        </is>
      </c>
      <c r="H20" s="2" t="inlineStr">
        <is>
          <t>$6530.03</t>
        </is>
      </c>
      <c r="I20" s="2" t="n">
        <v>48910.23</v>
      </c>
      <c r="J20" s="2" t="inlineStr">
        <is>
          <t>Online Banking</t>
        </is>
      </c>
      <c r="K20" s="2" t="inlineStr">
        <is>
          <t>N</t>
        </is>
      </c>
    </row>
    <row r="21">
      <c r="A21" s="2" t="inlineStr">
        <is>
          <t>TXN100021</t>
        </is>
      </c>
      <c r="B21" s="2" t="inlineStr">
        <is>
          <t xml:space="preserve">  CUST0021 </t>
        </is>
      </c>
      <c r="C21" s="2" t="inlineStr">
        <is>
          <t>2026-06-01 04:42:00</t>
        </is>
      </c>
      <c r="D21" s="2" t="n"/>
      <c r="E21" s="2" t="n">
        <v>55</v>
      </c>
      <c r="F21" s="2" t="inlineStr">
        <is>
          <t>Savings</t>
        </is>
      </c>
      <c r="G21" s="2" t="inlineStr">
        <is>
          <t>Entertainment</t>
        </is>
      </c>
      <c r="H21" s="2" t="inlineStr">
        <is>
          <t>$4226.11</t>
        </is>
      </c>
      <c r="I21" s="2" t="n">
        <v>30526.4</v>
      </c>
      <c r="J21" s="2" t="inlineStr">
        <is>
          <t>Online Banking</t>
        </is>
      </c>
      <c r="K21" s="2" t="inlineStr">
        <is>
          <t>N</t>
        </is>
      </c>
    </row>
    <row r="22">
      <c r="A22" s="2" t="inlineStr">
        <is>
          <t>TXN100022</t>
        </is>
      </c>
      <c r="B22" s="2" t="inlineStr">
        <is>
          <t xml:space="preserve">  CUST0022 </t>
        </is>
      </c>
      <c r="C22" s="2" t="inlineStr">
        <is>
          <t>2026-06-01 17:48:00</t>
        </is>
      </c>
      <c r="D22" s="2" t="inlineStr">
        <is>
          <t>F</t>
        </is>
      </c>
      <c r="E22" s="2" t="n">
        <v>65</v>
      </c>
      <c r="F22" s="2" t="inlineStr">
        <is>
          <t>Checking</t>
        </is>
      </c>
      <c r="G22" s="2" t="inlineStr">
        <is>
          <t>Utilities</t>
        </is>
      </c>
      <c r="H22" s="2" t="inlineStr">
        <is>
          <t>$7961.24</t>
        </is>
      </c>
      <c r="I22" s="2" t="n">
        <v>32668.96</v>
      </c>
      <c r="J22" s="2" t="inlineStr">
        <is>
          <t>ATM</t>
        </is>
      </c>
      <c r="K22" s="2" t="inlineStr">
        <is>
          <t>Y</t>
        </is>
      </c>
    </row>
    <row r="23">
      <c r="A23" s="2" t="inlineStr">
        <is>
          <t>TXN100023</t>
        </is>
      </c>
      <c r="B23" s="2" t="inlineStr">
        <is>
          <t xml:space="preserve">  CUST0023 </t>
        </is>
      </c>
      <c r="C23" s="2" t="inlineStr">
        <is>
          <t>2026-06-01 14:07:00</t>
        </is>
      </c>
      <c r="D23" s="2" t="inlineStr">
        <is>
          <t>F</t>
        </is>
      </c>
      <c r="E23" s="2" t="n">
        <v>34</v>
      </c>
      <c r="F23" s="2" t="inlineStr">
        <is>
          <t>Savings</t>
        </is>
      </c>
      <c r="G23" s="2" t="inlineStr">
        <is>
          <t>Entertainment</t>
        </is>
      </c>
      <c r="H23" s="2" t="inlineStr">
        <is>
          <t>$178.06</t>
        </is>
      </c>
      <c r="I23" s="2" t="n">
        <v>27919.12</v>
      </c>
      <c r="J23" s="2" t="inlineStr">
        <is>
          <t>Online Banking</t>
        </is>
      </c>
      <c r="K23" s="2" t="inlineStr">
        <is>
          <t>N</t>
        </is>
      </c>
    </row>
    <row r="24">
      <c r="A24" s="2" t="inlineStr">
        <is>
          <t>TXN100024</t>
        </is>
      </c>
      <c r="B24" s="2" t="inlineStr">
        <is>
          <t xml:space="preserve">  CUST0024 </t>
        </is>
      </c>
      <c r="C24" s="2" t="inlineStr">
        <is>
          <t>2026-06-01 00:04:00</t>
        </is>
      </c>
      <c r="D24" s="2" t="inlineStr">
        <is>
          <t>M</t>
        </is>
      </c>
      <c r="E24" s="2" t="n">
        <v>34</v>
      </c>
      <c r="F24" s="2" t="inlineStr">
        <is>
          <t>Savings</t>
        </is>
      </c>
      <c r="G24" s="2" t="inlineStr">
        <is>
          <t>groceries</t>
        </is>
      </c>
      <c r="H24" s="2" t="inlineStr">
        <is>
          <t>$6878.49</t>
        </is>
      </c>
      <c r="I24" s="2" t="n">
        <v>4007.44</v>
      </c>
      <c r="J24" s="2" t="inlineStr">
        <is>
          <t>Online Banking</t>
        </is>
      </c>
      <c r="K24" s="2" t="inlineStr">
        <is>
          <t>N</t>
        </is>
      </c>
    </row>
    <row r="25">
      <c r="A25" s="2" t="inlineStr">
        <is>
          <t>TXN100025</t>
        </is>
      </c>
      <c r="B25" s="2" t="inlineStr">
        <is>
          <t xml:space="preserve">  CUST0025 </t>
        </is>
      </c>
      <c r="C25" s="2" t="inlineStr">
        <is>
          <t>2026-06-01 08:42:00</t>
        </is>
      </c>
      <c r="D25" s="2" t="n"/>
      <c r="E25" s="2" t="n">
        <v>33</v>
      </c>
      <c r="F25" s="2" t="inlineStr">
        <is>
          <t>Investment</t>
        </is>
      </c>
      <c r="G25" s="2" t="inlineStr">
        <is>
          <t>GROCERIES</t>
        </is>
      </c>
      <c r="H25" s="2" t="inlineStr">
        <is>
          <t>$5789.59</t>
        </is>
      </c>
      <c r="I25" s="2" t="n">
        <v>44177.96</v>
      </c>
      <c r="J25" s="2" t="inlineStr">
        <is>
          <t>ATM</t>
        </is>
      </c>
      <c r="K25" s="2" t="inlineStr">
        <is>
          <t>N</t>
        </is>
      </c>
    </row>
    <row r="26">
      <c r="A26" s="2" t="inlineStr">
        <is>
          <t>TXN100026</t>
        </is>
      </c>
      <c r="B26" s="2" t="inlineStr">
        <is>
          <t xml:space="preserve">  CUST0026 </t>
        </is>
      </c>
      <c r="C26" s="2" t="inlineStr">
        <is>
          <t>2026-06-01 07:50:00</t>
        </is>
      </c>
      <c r="D26" s="2" t="n"/>
      <c r="E26" s="2" t="n">
        <v>71</v>
      </c>
      <c r="F26" s="2" t="inlineStr">
        <is>
          <t>Checking</t>
        </is>
      </c>
      <c r="G26" s="2" t="inlineStr">
        <is>
          <t>GROCERIES</t>
        </is>
      </c>
      <c r="H26" s="2" t="inlineStr">
        <is>
          <t>$763.66</t>
        </is>
      </c>
      <c r="I26" s="2" t="n">
        <v>33119.65</v>
      </c>
      <c r="J26" s="2" t="inlineStr">
        <is>
          <t>Branch Office</t>
        </is>
      </c>
      <c r="K26" s="2" t="inlineStr">
        <is>
          <t>N</t>
        </is>
      </c>
    </row>
    <row r="27">
      <c r="A27" s="2" t="inlineStr">
        <is>
          <t>TXN100027</t>
        </is>
      </c>
      <c r="B27" s="2" t="inlineStr">
        <is>
          <t xml:space="preserve">  CUST0027 </t>
        </is>
      </c>
      <c r="C27" s="2" t="inlineStr">
        <is>
          <t>2026-06-01 13:26:00</t>
        </is>
      </c>
      <c r="D27" s="2" t="n"/>
      <c r="E27" s="2" t="n">
        <v>75</v>
      </c>
      <c r="F27" s="2" t="inlineStr">
        <is>
          <t>Investment</t>
        </is>
      </c>
      <c r="G27" s="2" t="inlineStr">
        <is>
          <t>groceries</t>
        </is>
      </c>
      <c r="H27" s="2" t="inlineStr">
        <is>
          <t>$5390.18</t>
        </is>
      </c>
      <c r="I27" s="2" t="n">
        <v>49216.18</v>
      </c>
      <c r="J27" s="2" t="inlineStr">
        <is>
          <t xml:space="preserve">Mobile App </t>
        </is>
      </c>
      <c r="K27" s="2" t="inlineStr">
        <is>
          <t>N</t>
        </is>
      </c>
    </row>
    <row r="28">
      <c r="A28" s="2" t="inlineStr">
        <is>
          <t>TXN100028</t>
        </is>
      </c>
      <c r="B28" s="2" t="inlineStr">
        <is>
          <t xml:space="preserve">  CUST0028 </t>
        </is>
      </c>
      <c r="C28" s="2" t="inlineStr">
        <is>
          <t>2026-06-01 01:25:00</t>
        </is>
      </c>
      <c r="D28" s="2" t="inlineStr">
        <is>
          <t>Female</t>
        </is>
      </c>
      <c r="E28" s="2" t="n">
        <v>71</v>
      </c>
      <c r="F28" s="2" t="inlineStr">
        <is>
          <t>Savings</t>
        </is>
      </c>
      <c r="G28" s="2" t="inlineStr">
        <is>
          <t>GROCERIES</t>
        </is>
      </c>
      <c r="H28" s="2" t="inlineStr">
        <is>
          <t>$1540.8</t>
        </is>
      </c>
      <c r="I28" s="2" t="n">
        <v>27046.14</v>
      </c>
      <c r="J28" s="2" t="inlineStr">
        <is>
          <t>Online Banking</t>
        </is>
      </c>
      <c r="K28" s="2" t="inlineStr">
        <is>
          <t>N</t>
        </is>
      </c>
    </row>
    <row r="29">
      <c r="A29" s="2" t="inlineStr">
        <is>
          <t>TXN100029</t>
        </is>
      </c>
      <c r="B29" s="2" t="inlineStr">
        <is>
          <t xml:space="preserve">  CUST0029 </t>
        </is>
      </c>
      <c r="C29" s="2" t="inlineStr">
        <is>
          <t>2026-06-01 13:11:00</t>
        </is>
      </c>
      <c r="D29" s="2" t="inlineStr">
        <is>
          <t>female</t>
        </is>
      </c>
      <c r="E29" s="2" t="n">
        <v>49</v>
      </c>
      <c r="F29" s="2" t="inlineStr">
        <is>
          <t>Savings</t>
        </is>
      </c>
      <c r="G29" s="2" t="inlineStr">
        <is>
          <t>groceries</t>
        </is>
      </c>
      <c r="H29" s="2" t="inlineStr">
        <is>
          <t>$3550.61</t>
        </is>
      </c>
      <c r="I29" s="2" t="n">
        <v>43136.78</v>
      </c>
      <c r="J29" s="2" t="inlineStr">
        <is>
          <t xml:space="preserve">Mobile App </t>
        </is>
      </c>
      <c r="K29" s="2" t="inlineStr">
        <is>
          <t>N</t>
        </is>
      </c>
    </row>
    <row r="30">
      <c r="A30" s="2" t="inlineStr">
        <is>
          <t>TXN100030</t>
        </is>
      </c>
      <c r="B30" s="2" t="inlineStr">
        <is>
          <t xml:space="preserve">  CUST0030 </t>
        </is>
      </c>
      <c r="C30" s="2" t="inlineStr">
        <is>
          <t>2026-06-01 01:41:00</t>
        </is>
      </c>
      <c r="D30" s="2" t="inlineStr">
        <is>
          <t>M</t>
        </is>
      </c>
      <c r="E30" s="2" t="n">
        <v>25</v>
      </c>
      <c r="F30" s="2" t="inlineStr">
        <is>
          <t>Savings</t>
        </is>
      </c>
      <c r="G30" s="2" t="inlineStr">
        <is>
          <t>GROCERIES</t>
        </is>
      </c>
      <c r="H30" s="2" t="inlineStr">
        <is>
          <t>$3257.25</t>
        </is>
      </c>
      <c r="I30" s="2" t="n">
        <v>24327.24</v>
      </c>
      <c r="J30" s="2" t="inlineStr">
        <is>
          <t>ATM</t>
        </is>
      </c>
      <c r="K30" s="2" t="inlineStr">
        <is>
          <t>N</t>
        </is>
      </c>
    </row>
    <row r="31">
      <c r="A31" s="2" t="inlineStr">
        <is>
          <t>TXN100031</t>
        </is>
      </c>
      <c r="B31" s="2" t="inlineStr">
        <is>
          <t xml:space="preserve">  CUST0031 </t>
        </is>
      </c>
      <c r="C31" s="2" t="inlineStr">
        <is>
          <t>2026-06-01 01:10:00</t>
        </is>
      </c>
      <c r="D31" s="3" t="inlineStr"/>
      <c r="E31" s="2" t="n">
        <v>20</v>
      </c>
      <c r="F31" s="2" t="inlineStr">
        <is>
          <t>Checking</t>
        </is>
      </c>
      <c r="G31" s="2" t="inlineStr">
        <is>
          <t>Entertainment</t>
        </is>
      </c>
      <c r="H31" s="2" t="inlineStr">
        <is>
          <t>$7412.88</t>
        </is>
      </c>
      <c r="I31" s="2" t="n">
        <v>39363.9</v>
      </c>
      <c r="J31" s="2" t="inlineStr">
        <is>
          <t>Branch Office</t>
        </is>
      </c>
      <c r="K31" s="2" t="inlineStr">
        <is>
          <t>N</t>
        </is>
      </c>
    </row>
    <row r="32">
      <c r="A32" s="2" t="inlineStr">
        <is>
          <t>TXN100032</t>
        </is>
      </c>
      <c r="B32" s="2" t="inlineStr">
        <is>
          <t xml:space="preserve">  CUST0032 </t>
        </is>
      </c>
      <c r="C32" s="2" t="inlineStr">
        <is>
          <t>2026-06-01 23:50:00</t>
        </is>
      </c>
      <c r="D32" s="2" t="n"/>
      <c r="E32" s="3" t="n">
        <v>145</v>
      </c>
      <c r="F32" s="2" t="inlineStr">
        <is>
          <t>Savings</t>
        </is>
      </c>
      <c r="G32" s="2" t="inlineStr">
        <is>
          <t>Entertainment</t>
        </is>
      </c>
      <c r="H32" s="2" t="inlineStr">
        <is>
          <t>$1749.43</t>
        </is>
      </c>
      <c r="I32" s="2" t="n">
        <v>3394.92</v>
      </c>
      <c r="J32" s="2" t="inlineStr">
        <is>
          <t xml:space="preserve">Mobile App </t>
        </is>
      </c>
      <c r="K32" s="2" t="inlineStr">
        <is>
          <t>N</t>
        </is>
      </c>
    </row>
    <row r="33">
      <c r="A33" s="2" t="inlineStr">
        <is>
          <t>TXN100033</t>
        </is>
      </c>
      <c r="B33" s="2" t="inlineStr">
        <is>
          <t xml:space="preserve">  CUST0033 </t>
        </is>
      </c>
      <c r="C33" s="2" t="inlineStr">
        <is>
          <t>2026-06-01 23:20:00</t>
        </is>
      </c>
      <c r="D33" s="2" t="inlineStr">
        <is>
          <t>M</t>
        </is>
      </c>
      <c r="E33" s="2" t="n">
        <v>23</v>
      </c>
      <c r="F33" s="2" t="inlineStr">
        <is>
          <t>Investment</t>
        </is>
      </c>
      <c r="G33" s="2" t="inlineStr">
        <is>
          <t>Utilities</t>
        </is>
      </c>
      <c r="H33" s="2" t="inlineStr">
        <is>
          <t>$4027.77</t>
        </is>
      </c>
      <c r="I33" s="2" t="n">
        <v>42709.63</v>
      </c>
      <c r="J33" s="2" t="inlineStr">
        <is>
          <t>Online Banking</t>
        </is>
      </c>
      <c r="K33" s="2" t="inlineStr">
        <is>
          <t>N</t>
        </is>
      </c>
    </row>
    <row r="34">
      <c r="A34" s="2" t="inlineStr">
        <is>
          <t>TXN100034</t>
        </is>
      </c>
      <c r="B34" s="2" t="inlineStr">
        <is>
          <t xml:space="preserve">  CUST0034 </t>
        </is>
      </c>
      <c r="C34" s="2" t="inlineStr">
        <is>
          <t>2026-06-01 01:32:00</t>
        </is>
      </c>
      <c r="D34" s="2" t="inlineStr">
        <is>
          <t>MALE</t>
        </is>
      </c>
      <c r="E34" s="2" t="n">
        <v>74</v>
      </c>
      <c r="F34" s="2" t="inlineStr">
        <is>
          <t>Savings</t>
        </is>
      </c>
      <c r="G34" s="2" t="inlineStr">
        <is>
          <t>groceries</t>
        </is>
      </c>
      <c r="H34" s="2" t="inlineStr">
        <is>
          <t>$4764.33</t>
        </is>
      </c>
      <c r="I34" s="2" t="n">
        <v>33923.02</v>
      </c>
      <c r="J34" s="2" t="inlineStr">
        <is>
          <t>Online Banking</t>
        </is>
      </c>
      <c r="K34" s="2" t="inlineStr">
        <is>
          <t>N</t>
        </is>
      </c>
    </row>
    <row r="35">
      <c r="A35" s="2" t="inlineStr">
        <is>
          <t>TXN100035</t>
        </is>
      </c>
      <c r="B35" s="2" t="inlineStr">
        <is>
          <t xml:space="preserve">  CUST0035 </t>
        </is>
      </c>
      <c r="C35" s="2" t="inlineStr">
        <is>
          <t>2026-06-01 12:07:00</t>
        </is>
      </c>
      <c r="D35" s="2" t="inlineStr">
        <is>
          <t>F</t>
        </is>
      </c>
      <c r="E35" s="2" t="n">
        <v>57</v>
      </c>
      <c r="F35" s="2" t="inlineStr">
        <is>
          <t>Investment</t>
        </is>
      </c>
      <c r="G35" s="2" t="inlineStr">
        <is>
          <t>groceries</t>
        </is>
      </c>
      <c r="H35" s="2" t="inlineStr">
        <is>
          <t>$4958.86</t>
        </is>
      </c>
      <c r="I35" s="2" t="n">
        <v>21251.63</v>
      </c>
      <c r="J35" s="2" t="inlineStr">
        <is>
          <t>Branch Office</t>
        </is>
      </c>
      <c r="K35" s="2" t="inlineStr">
        <is>
          <t>N</t>
        </is>
      </c>
    </row>
    <row r="36">
      <c r="A36" s="2" t="inlineStr">
        <is>
          <t>TXN100036</t>
        </is>
      </c>
      <c r="B36" s="2" t="inlineStr">
        <is>
          <t xml:space="preserve">  CUST0036 </t>
        </is>
      </c>
      <c r="C36" s="2" t="inlineStr">
        <is>
          <t>2026-06-01 08:13:00</t>
        </is>
      </c>
      <c r="D36" s="2" t="inlineStr">
        <is>
          <t>Female</t>
        </is>
      </c>
      <c r="E36" s="2" t="n">
        <v>35</v>
      </c>
      <c r="F36" s="2" t="inlineStr">
        <is>
          <t>Checking</t>
        </is>
      </c>
      <c r="G36" s="2" t="inlineStr">
        <is>
          <t>Utilities</t>
        </is>
      </c>
      <c r="H36" s="2" t="inlineStr">
        <is>
          <t>$1055.72</t>
        </is>
      </c>
      <c r="I36" s="2" t="n">
        <v>32452.29</v>
      </c>
      <c r="J36" s="2" t="inlineStr">
        <is>
          <t>ATM</t>
        </is>
      </c>
      <c r="K36" s="2" t="inlineStr">
        <is>
          <t>N</t>
        </is>
      </c>
    </row>
    <row r="37">
      <c r="A37" s="2" t="inlineStr">
        <is>
          <t>TXN100037</t>
        </is>
      </c>
      <c r="B37" s="2" t="inlineStr">
        <is>
          <t xml:space="preserve">  CUST0037 </t>
        </is>
      </c>
      <c r="C37" s="2" t="inlineStr">
        <is>
          <t>2026-06-01 10:59:00</t>
        </is>
      </c>
      <c r="D37" s="2" t="inlineStr">
        <is>
          <t>MALE</t>
        </is>
      </c>
      <c r="E37" s="2" t="n">
        <v>20</v>
      </c>
      <c r="F37" s="2" t="inlineStr">
        <is>
          <t>Checking</t>
        </is>
      </c>
      <c r="G37" s="2" t="inlineStr">
        <is>
          <t>Travel</t>
        </is>
      </c>
      <c r="H37" s="2" t="inlineStr">
        <is>
          <t>$7987.65</t>
        </is>
      </c>
      <c r="I37" s="2" t="n">
        <v>49806.77</v>
      </c>
      <c r="J37" s="2" t="inlineStr">
        <is>
          <t xml:space="preserve">Mobile App </t>
        </is>
      </c>
      <c r="K37" s="2" t="inlineStr">
        <is>
          <t>Y</t>
        </is>
      </c>
    </row>
    <row r="38">
      <c r="A38" s="2" t="inlineStr">
        <is>
          <t>TXN100038</t>
        </is>
      </c>
      <c r="B38" s="2" t="inlineStr">
        <is>
          <t xml:space="preserve">  CUST0038 </t>
        </is>
      </c>
      <c r="C38" s="2" t="inlineStr">
        <is>
          <t>2026-06-01 16:16:00</t>
        </is>
      </c>
      <c r="D38" s="2" t="inlineStr">
        <is>
          <t>Male</t>
        </is>
      </c>
      <c r="E38" s="2" t="n">
        <v>42</v>
      </c>
      <c r="F38" s="2" t="inlineStr">
        <is>
          <t>Savings</t>
        </is>
      </c>
      <c r="G38" s="2" t="inlineStr">
        <is>
          <t>GROCERIES</t>
        </is>
      </c>
      <c r="H38" s="2" t="inlineStr">
        <is>
          <t>$2962.52</t>
        </is>
      </c>
      <c r="I38" s="2" t="n">
        <v>8308.469999999999</v>
      </c>
      <c r="J38" s="2" t="inlineStr">
        <is>
          <t>Branch Office</t>
        </is>
      </c>
      <c r="K38" s="2" t="inlineStr">
        <is>
          <t>N</t>
        </is>
      </c>
    </row>
    <row r="39">
      <c r="A39" s="2" t="inlineStr">
        <is>
          <t>TXN100039</t>
        </is>
      </c>
      <c r="B39" s="2" t="inlineStr">
        <is>
          <t xml:space="preserve">  CUST0039 </t>
        </is>
      </c>
      <c r="C39" s="2" t="inlineStr">
        <is>
          <t>2026-06-01 19:51:00</t>
        </is>
      </c>
      <c r="D39" s="2" t="inlineStr">
        <is>
          <t>M</t>
        </is>
      </c>
      <c r="E39" s="2" t="n">
        <v>62</v>
      </c>
      <c r="F39" s="2" t="inlineStr">
        <is>
          <t>Investment</t>
        </is>
      </c>
      <c r="G39" s="2" t="inlineStr">
        <is>
          <t>Entertainment</t>
        </is>
      </c>
      <c r="H39" s="2" t="inlineStr">
        <is>
          <t>$7454.73</t>
        </is>
      </c>
      <c r="I39" s="2" t="n">
        <v>5627.53</v>
      </c>
      <c r="J39" s="2" t="inlineStr">
        <is>
          <t>Online Banking</t>
        </is>
      </c>
      <c r="K39" s="2" t="inlineStr">
        <is>
          <t>N</t>
        </is>
      </c>
    </row>
    <row r="40">
      <c r="A40" s="2" t="inlineStr">
        <is>
          <t>TXN100040</t>
        </is>
      </c>
      <c r="B40" s="2" t="inlineStr">
        <is>
          <t xml:space="preserve">  CUST0040 </t>
        </is>
      </c>
      <c r="C40" s="2" t="inlineStr">
        <is>
          <t>2026-06-01 03:47:00</t>
        </is>
      </c>
      <c r="D40" s="2" t="inlineStr">
        <is>
          <t>Male</t>
        </is>
      </c>
      <c r="E40" s="2" t="n">
        <v>37</v>
      </c>
      <c r="F40" s="2" t="inlineStr">
        <is>
          <t>Checking</t>
        </is>
      </c>
      <c r="G40" s="2" t="inlineStr">
        <is>
          <t>Travel</t>
        </is>
      </c>
      <c r="H40" s="2" t="inlineStr">
        <is>
          <t>$1692.93</t>
        </is>
      </c>
      <c r="I40" s="2" t="n">
        <v>17472.57</v>
      </c>
      <c r="J40" s="2" t="inlineStr">
        <is>
          <t>Branch Office</t>
        </is>
      </c>
      <c r="K40" s="2" t="inlineStr">
        <is>
          <t>N</t>
        </is>
      </c>
    </row>
    <row r="41">
      <c r="A41" s="2" t="inlineStr">
        <is>
          <t>TXN100041</t>
        </is>
      </c>
      <c r="B41" s="2" t="inlineStr">
        <is>
          <t xml:space="preserve">  CUST0041 </t>
        </is>
      </c>
      <c r="C41" s="2" t="inlineStr">
        <is>
          <t>2026-06-01 16:31:00</t>
        </is>
      </c>
      <c r="D41" s="2" t="inlineStr">
        <is>
          <t>female</t>
        </is>
      </c>
      <c r="E41" s="2" t="n">
        <v>74</v>
      </c>
      <c r="F41" s="2" t="inlineStr">
        <is>
          <t>Savings</t>
        </is>
      </c>
      <c r="G41" s="2" t="inlineStr">
        <is>
          <t>groceries</t>
        </is>
      </c>
      <c r="H41" s="3" t="inlineStr">
        <is>
          <t>ERROR</t>
        </is>
      </c>
      <c r="I41" s="2" t="n">
        <v>41552.73</v>
      </c>
      <c r="J41" s="2" t="inlineStr">
        <is>
          <t xml:space="preserve">Mobile App </t>
        </is>
      </c>
      <c r="K41" s="2" t="inlineStr">
        <is>
          <t>N</t>
        </is>
      </c>
    </row>
    <row r="42">
      <c r="A42" s="2" t="inlineStr">
        <is>
          <t>TXN100041</t>
        </is>
      </c>
      <c r="B42" s="2" t="inlineStr">
        <is>
          <t xml:space="preserve">  CUST0042 </t>
        </is>
      </c>
      <c r="C42" s="2" t="inlineStr">
        <is>
          <t>2026-06-01 00:21:00</t>
        </is>
      </c>
      <c r="D42" s="2" t="inlineStr">
        <is>
          <t>Male</t>
        </is>
      </c>
      <c r="E42" s="2" t="n">
        <v>60</v>
      </c>
      <c r="F42" s="2" t="inlineStr">
        <is>
          <t>Checking</t>
        </is>
      </c>
      <c r="G42" s="2" t="inlineStr">
        <is>
          <t>GROCERIES</t>
        </is>
      </c>
      <c r="H42" s="2" t="inlineStr">
        <is>
          <t>$5932.43</t>
        </is>
      </c>
      <c r="I42" s="2" t="n">
        <v>27808.18</v>
      </c>
      <c r="J42" s="2" t="inlineStr">
        <is>
          <t>ATM</t>
        </is>
      </c>
      <c r="K42" s="2" t="inlineStr">
        <is>
          <t>N</t>
        </is>
      </c>
    </row>
    <row r="43">
      <c r="A43" s="2" t="inlineStr">
        <is>
          <t>TXN100043</t>
        </is>
      </c>
      <c r="B43" s="2" t="inlineStr">
        <is>
          <t xml:space="preserve">  CUST0043 </t>
        </is>
      </c>
      <c r="C43" s="2" t="inlineStr">
        <is>
          <t>2026-06-01 17:00:00</t>
        </is>
      </c>
      <c r="D43" s="2" t="inlineStr">
        <is>
          <t>MALE</t>
        </is>
      </c>
      <c r="E43" s="2" t="n">
        <v>24</v>
      </c>
      <c r="F43" s="2" t="inlineStr">
        <is>
          <t>Investment</t>
        </is>
      </c>
      <c r="G43" s="2" t="inlineStr">
        <is>
          <t>GROCERIES</t>
        </is>
      </c>
      <c r="H43" s="2" t="inlineStr">
        <is>
          <t>$4369.27</t>
        </is>
      </c>
      <c r="I43" s="2" t="n">
        <v>41812.45</v>
      </c>
      <c r="J43" s="2" t="inlineStr">
        <is>
          <t>Online Banking</t>
        </is>
      </c>
      <c r="K43" s="2" t="inlineStr">
        <is>
          <t>N</t>
        </is>
      </c>
    </row>
    <row r="44">
      <c r="A44" s="2" t="inlineStr">
        <is>
          <t>TXN100044</t>
        </is>
      </c>
      <c r="B44" s="2" t="inlineStr">
        <is>
          <t xml:space="preserve">  CUST0044 </t>
        </is>
      </c>
      <c r="C44" s="2" t="inlineStr">
        <is>
          <t>2026-06-01 13:08:00</t>
        </is>
      </c>
      <c r="D44" s="2" t="inlineStr">
        <is>
          <t>M</t>
        </is>
      </c>
      <c r="E44" s="2" t="n">
        <v>39</v>
      </c>
      <c r="F44" s="2" t="inlineStr">
        <is>
          <t>Checking</t>
        </is>
      </c>
      <c r="G44" s="2" t="inlineStr">
        <is>
          <t>groceries</t>
        </is>
      </c>
      <c r="H44" s="2" t="inlineStr">
        <is>
          <t>$7192.41</t>
        </is>
      </c>
      <c r="I44" s="2" t="n">
        <v>10898.79</v>
      </c>
      <c r="J44" s="2" t="inlineStr">
        <is>
          <t>Online Banking</t>
        </is>
      </c>
      <c r="K44" s="2" t="inlineStr">
        <is>
          <t>Y</t>
        </is>
      </c>
    </row>
    <row r="45">
      <c r="A45" s="2" t="inlineStr">
        <is>
          <t>TXN100045</t>
        </is>
      </c>
      <c r="B45" s="2" t="inlineStr">
        <is>
          <t xml:space="preserve">  CUST0045 </t>
        </is>
      </c>
      <c r="C45" s="2" t="inlineStr">
        <is>
          <t>2026-06-01 11:49:00</t>
        </is>
      </c>
      <c r="D45" s="3" t="inlineStr"/>
      <c r="E45" s="2" t="n">
        <v>59</v>
      </c>
      <c r="F45" s="2" t="inlineStr">
        <is>
          <t>Investment</t>
        </is>
      </c>
      <c r="G45" s="2" t="inlineStr">
        <is>
          <t>GROCERIES</t>
        </is>
      </c>
      <c r="H45" s="2" t="inlineStr">
        <is>
          <t>$7406.85</t>
        </is>
      </c>
      <c r="I45" s="2" t="n">
        <v>12218.5</v>
      </c>
      <c r="J45" s="2" t="inlineStr">
        <is>
          <t>Online Banking</t>
        </is>
      </c>
      <c r="K45" s="2" t="inlineStr">
        <is>
          <t>Y</t>
        </is>
      </c>
    </row>
    <row r="46">
      <c r="A46" s="2" t="inlineStr">
        <is>
          <t>TXN100046</t>
        </is>
      </c>
      <c r="B46" s="2" t="inlineStr">
        <is>
          <t xml:space="preserve">  CUST0046 </t>
        </is>
      </c>
      <c r="C46" s="2" t="inlineStr">
        <is>
          <t>2026-06-01 05:56:00</t>
        </is>
      </c>
      <c r="D46" s="3" t="inlineStr"/>
      <c r="E46" s="2" t="n">
        <v>21</v>
      </c>
      <c r="F46" s="2" t="inlineStr">
        <is>
          <t>Savings</t>
        </is>
      </c>
      <c r="G46" s="2" t="inlineStr">
        <is>
          <t>Entertainment</t>
        </is>
      </c>
      <c r="H46" s="2" t="inlineStr">
        <is>
          <t>$6261.27</t>
        </is>
      </c>
      <c r="I46" s="2" t="n">
        <v>20879.8</v>
      </c>
      <c r="J46" s="2" t="inlineStr">
        <is>
          <t>Online Banking</t>
        </is>
      </c>
      <c r="K46" s="2" t="inlineStr">
        <is>
          <t>N</t>
        </is>
      </c>
    </row>
    <row r="47">
      <c r="A47" s="2" t="inlineStr">
        <is>
          <t>TXN100047</t>
        </is>
      </c>
      <c r="B47" s="2" t="inlineStr">
        <is>
          <t xml:space="preserve">  CUST0047 </t>
        </is>
      </c>
      <c r="C47" s="2" t="inlineStr">
        <is>
          <t>2026-06-01 08:10:00</t>
        </is>
      </c>
      <c r="D47" s="2" t="inlineStr">
        <is>
          <t>MALE</t>
        </is>
      </c>
      <c r="E47" s="2" t="n">
        <v>44</v>
      </c>
      <c r="F47" s="2" t="inlineStr">
        <is>
          <t>Savings</t>
        </is>
      </c>
      <c r="G47" s="2" t="inlineStr">
        <is>
          <t>Utilities</t>
        </is>
      </c>
      <c r="H47" s="2" t="inlineStr">
        <is>
          <t>$1787.25</t>
        </is>
      </c>
      <c r="I47" s="2" t="n">
        <v>40921.04</v>
      </c>
      <c r="J47" s="2" t="inlineStr">
        <is>
          <t>ATM</t>
        </is>
      </c>
      <c r="K47" s="2" t="inlineStr">
        <is>
          <t>N</t>
        </is>
      </c>
    </row>
    <row r="48">
      <c r="A48" s="2" t="inlineStr">
        <is>
          <t>TXN100048</t>
        </is>
      </c>
      <c r="B48" s="2" t="inlineStr">
        <is>
          <t xml:space="preserve">  CUST0048 </t>
        </is>
      </c>
      <c r="C48" s="2" t="inlineStr">
        <is>
          <t>2026-06-01 11:19:00</t>
        </is>
      </c>
      <c r="D48" s="2" t="inlineStr">
        <is>
          <t>F</t>
        </is>
      </c>
      <c r="E48" s="2" t="n">
        <v>34</v>
      </c>
      <c r="F48" s="2" t="inlineStr">
        <is>
          <t>Savings</t>
        </is>
      </c>
      <c r="G48" s="2" t="inlineStr">
        <is>
          <t>GROCERIES</t>
        </is>
      </c>
      <c r="H48" s="2" t="inlineStr">
        <is>
          <t>$3193.74</t>
        </is>
      </c>
      <c r="I48" s="2" t="n">
        <v>14290.85</v>
      </c>
      <c r="J48" s="2" t="inlineStr">
        <is>
          <t xml:space="preserve">Mobile App </t>
        </is>
      </c>
      <c r="K48" s="2" t="inlineStr">
        <is>
          <t>N</t>
        </is>
      </c>
    </row>
    <row r="49">
      <c r="A49" s="2" t="inlineStr">
        <is>
          <t>TXN100049</t>
        </is>
      </c>
      <c r="B49" s="2" t="inlineStr">
        <is>
          <t xml:space="preserve">  CUST0049 </t>
        </is>
      </c>
      <c r="C49" s="2" t="inlineStr">
        <is>
          <t>2026-06-01 08:22:00</t>
        </is>
      </c>
      <c r="D49" s="3" t="inlineStr"/>
      <c r="E49" s="2" t="n">
        <v>63</v>
      </c>
      <c r="F49" s="2" t="inlineStr">
        <is>
          <t>Investment</t>
        </is>
      </c>
      <c r="G49" s="2" t="inlineStr">
        <is>
          <t>Entertainment</t>
        </is>
      </c>
      <c r="H49" s="2" t="inlineStr">
        <is>
          <t>$7514.5</t>
        </is>
      </c>
      <c r="I49" s="2" t="n">
        <v>6209.42</v>
      </c>
      <c r="J49" s="2" t="inlineStr">
        <is>
          <t>Branch Office</t>
        </is>
      </c>
      <c r="K49" s="2" t="inlineStr">
        <is>
          <t>N</t>
        </is>
      </c>
    </row>
    <row r="50">
      <c r="A50" s="2" t="inlineStr">
        <is>
          <t>TXN100050</t>
        </is>
      </c>
      <c r="B50" s="2" t="inlineStr">
        <is>
          <t xml:space="preserve">  CUST0050 </t>
        </is>
      </c>
      <c r="C50" s="3" t="inlineStr"/>
      <c r="D50" s="2" t="inlineStr">
        <is>
          <t>MALE</t>
        </is>
      </c>
      <c r="E50" s="2" t="n">
        <v>58</v>
      </c>
      <c r="F50" s="2" t="inlineStr">
        <is>
          <t>Checking</t>
        </is>
      </c>
      <c r="G50" s="2" t="inlineStr">
        <is>
          <t>Entertainment</t>
        </is>
      </c>
      <c r="H50" s="2" t="inlineStr">
        <is>
          <t>$5831.08</t>
        </is>
      </c>
      <c r="I50" s="2" t="n">
        <v>16027.03</v>
      </c>
      <c r="J50" s="2" t="inlineStr">
        <is>
          <t xml:space="preserve">Mobile App </t>
        </is>
      </c>
      <c r="K50" s="2" t="inlineStr">
        <is>
          <t>N</t>
        </is>
      </c>
    </row>
    <row r="51">
      <c r="A51" s="2" t="inlineStr">
        <is>
          <t>TXN100051</t>
        </is>
      </c>
      <c r="B51" s="2" t="inlineStr">
        <is>
          <t xml:space="preserve">  CUST0051 </t>
        </is>
      </c>
      <c r="C51" s="2" t="inlineStr">
        <is>
          <t>2026-06-01 12:57:00</t>
        </is>
      </c>
      <c r="D51" s="2" t="inlineStr">
        <is>
          <t>F</t>
        </is>
      </c>
      <c r="E51" s="2" t="n">
        <v>36</v>
      </c>
      <c r="F51" s="2" t="inlineStr">
        <is>
          <t>Savings</t>
        </is>
      </c>
      <c r="G51" s="2" t="inlineStr">
        <is>
          <t>Utilities</t>
        </is>
      </c>
      <c r="H51" s="2" t="inlineStr">
        <is>
          <t>$23.51</t>
        </is>
      </c>
      <c r="I51" s="2" t="n">
        <v>46315.97</v>
      </c>
      <c r="J51" s="2" t="inlineStr">
        <is>
          <t>Online Banking</t>
        </is>
      </c>
      <c r="K51" s="2" t="inlineStr">
        <is>
          <t>N</t>
        </is>
      </c>
    </row>
    <row r="52">
      <c r="A52" s="2" t="inlineStr">
        <is>
          <t>TXN100052</t>
        </is>
      </c>
      <c r="B52" s="2" t="inlineStr">
        <is>
          <t xml:space="preserve">  CUST0052 </t>
        </is>
      </c>
      <c r="C52" s="2" t="inlineStr">
        <is>
          <t>2026-06-01 11:27:00</t>
        </is>
      </c>
      <c r="D52" s="2" t="inlineStr">
        <is>
          <t>MALE</t>
        </is>
      </c>
      <c r="E52" s="2" t="n">
        <v>62</v>
      </c>
      <c r="F52" s="2" t="inlineStr">
        <is>
          <t>Checking</t>
        </is>
      </c>
      <c r="G52" s="2" t="inlineStr">
        <is>
          <t>Travel</t>
        </is>
      </c>
      <c r="H52" s="2" t="inlineStr">
        <is>
          <t>$2518.19</t>
        </is>
      </c>
      <c r="I52" s="2" t="n">
        <v>42476.76</v>
      </c>
      <c r="J52" s="2" t="inlineStr">
        <is>
          <t>Branch Office</t>
        </is>
      </c>
      <c r="K52" s="2" t="inlineStr">
        <is>
          <t>N</t>
        </is>
      </c>
    </row>
    <row r="53">
      <c r="A53" s="2" t="inlineStr">
        <is>
          <t>TXN100053</t>
        </is>
      </c>
      <c r="B53" s="2" t="inlineStr">
        <is>
          <t xml:space="preserve">  CUST0053 </t>
        </is>
      </c>
      <c r="C53" s="2" t="inlineStr">
        <is>
          <t>2026-06-01 16:19:00</t>
        </is>
      </c>
      <c r="D53" s="3" t="inlineStr"/>
      <c r="E53" s="2" t="n">
        <v>40</v>
      </c>
      <c r="F53" s="2" t="inlineStr">
        <is>
          <t>Checking</t>
        </is>
      </c>
      <c r="G53" s="2" t="inlineStr">
        <is>
          <t>Entertainment</t>
        </is>
      </c>
      <c r="H53" s="2" t="inlineStr">
        <is>
          <t>$4439.76</t>
        </is>
      </c>
      <c r="I53" s="2" t="n">
        <v>9996.08</v>
      </c>
      <c r="J53" s="2" t="inlineStr">
        <is>
          <t>ATM</t>
        </is>
      </c>
      <c r="K53" s="2" t="inlineStr">
        <is>
          <t>N</t>
        </is>
      </c>
    </row>
    <row r="54">
      <c r="A54" s="2" t="inlineStr">
        <is>
          <t>TXN100054</t>
        </is>
      </c>
      <c r="B54" s="2" t="inlineStr">
        <is>
          <t xml:space="preserve">  CUST0054 </t>
        </is>
      </c>
      <c r="C54" s="2" t="inlineStr">
        <is>
          <t>2026-06-01 21:47:00</t>
        </is>
      </c>
      <c r="D54" s="2" t="inlineStr">
        <is>
          <t>Male</t>
        </is>
      </c>
      <c r="E54" s="2" t="n">
        <v>59</v>
      </c>
      <c r="F54" s="2" t="inlineStr">
        <is>
          <t>Investment</t>
        </is>
      </c>
      <c r="G54" s="2" t="inlineStr">
        <is>
          <t>Entertainment</t>
        </is>
      </c>
      <c r="H54" s="2" t="inlineStr">
        <is>
          <t>$3254.54</t>
        </is>
      </c>
      <c r="I54" s="2" t="n">
        <v>41769.4</v>
      </c>
      <c r="J54" s="2" t="inlineStr">
        <is>
          <t>Branch Office</t>
        </is>
      </c>
      <c r="K54" s="2" t="inlineStr">
        <is>
          <t>N</t>
        </is>
      </c>
    </row>
    <row r="55">
      <c r="A55" s="2" t="inlineStr">
        <is>
          <t>TXN100055</t>
        </is>
      </c>
      <c r="B55" s="2" t="inlineStr">
        <is>
          <t xml:space="preserve">  CUST0055 </t>
        </is>
      </c>
      <c r="C55" s="2" t="inlineStr">
        <is>
          <t>2026-06-01 09:13:00</t>
        </is>
      </c>
      <c r="D55" s="3" t="inlineStr"/>
      <c r="E55" s="2" t="n">
        <v>70</v>
      </c>
      <c r="F55" s="2" t="inlineStr">
        <is>
          <t>Investment</t>
        </is>
      </c>
      <c r="G55" s="2" t="inlineStr">
        <is>
          <t>Travel</t>
        </is>
      </c>
      <c r="H55" s="2" t="inlineStr">
        <is>
          <t>$5241.1</t>
        </is>
      </c>
      <c r="I55" s="2" t="n">
        <v>23516.92</v>
      </c>
      <c r="J55" s="2" t="inlineStr">
        <is>
          <t>ATM</t>
        </is>
      </c>
      <c r="K55" s="2" t="inlineStr">
        <is>
          <t>N</t>
        </is>
      </c>
    </row>
    <row r="56">
      <c r="A56" s="2" t="inlineStr">
        <is>
          <t>TXN100056</t>
        </is>
      </c>
      <c r="B56" s="2" t="inlineStr">
        <is>
          <t xml:space="preserve">  CUST0056 </t>
        </is>
      </c>
      <c r="C56" s="2" t="inlineStr">
        <is>
          <t>2026-06-01 21:13:00</t>
        </is>
      </c>
      <c r="D56" s="2" t="n"/>
      <c r="E56" s="2" t="n">
        <v>70</v>
      </c>
      <c r="F56" s="2" t="inlineStr">
        <is>
          <t>Investment</t>
        </is>
      </c>
      <c r="G56" s="2" t="inlineStr">
        <is>
          <t>GROCERIES</t>
        </is>
      </c>
      <c r="H56" s="2" t="inlineStr">
        <is>
          <t>$5274.22</t>
        </is>
      </c>
      <c r="I56" s="2" t="n">
        <v>14547.43</v>
      </c>
      <c r="J56" s="2" t="inlineStr">
        <is>
          <t>Branch Office</t>
        </is>
      </c>
      <c r="K56" s="2" t="inlineStr">
        <is>
          <t>N</t>
        </is>
      </c>
    </row>
    <row r="57">
      <c r="A57" s="2" t="inlineStr">
        <is>
          <t>TXN100057</t>
        </is>
      </c>
      <c r="B57" s="2" t="inlineStr">
        <is>
          <t xml:space="preserve">  CUST0057 </t>
        </is>
      </c>
      <c r="C57" s="2" t="inlineStr">
        <is>
          <t>2026-06-01 02:52:00</t>
        </is>
      </c>
      <c r="D57" s="2" t="inlineStr">
        <is>
          <t>F</t>
        </is>
      </c>
      <c r="E57" s="2" t="n">
        <v>63</v>
      </c>
      <c r="F57" s="2" t="inlineStr">
        <is>
          <t>Checking</t>
        </is>
      </c>
      <c r="G57" s="2" t="inlineStr">
        <is>
          <t>GROCERIES</t>
        </is>
      </c>
      <c r="H57" s="2" t="inlineStr">
        <is>
          <t>$6454.44</t>
        </is>
      </c>
      <c r="I57" s="2" t="n">
        <v>7794.02</v>
      </c>
      <c r="J57" s="2" t="inlineStr">
        <is>
          <t xml:space="preserve">Mobile App </t>
        </is>
      </c>
      <c r="K57" s="2" t="inlineStr">
        <is>
          <t>N</t>
        </is>
      </c>
    </row>
    <row r="58">
      <c r="A58" s="2" t="inlineStr">
        <is>
          <t>TXN100058</t>
        </is>
      </c>
      <c r="B58" s="2" t="inlineStr">
        <is>
          <t xml:space="preserve">  CUST0058 </t>
        </is>
      </c>
      <c r="C58" s="2" t="inlineStr">
        <is>
          <t>2026-06-01 07:30:00</t>
        </is>
      </c>
      <c r="D58" s="2" t="inlineStr">
        <is>
          <t>MALE</t>
        </is>
      </c>
      <c r="E58" s="2" t="n">
        <v>49</v>
      </c>
      <c r="F58" s="2" t="inlineStr">
        <is>
          <t>Checking</t>
        </is>
      </c>
      <c r="G58" s="2" t="inlineStr">
        <is>
          <t>Travel</t>
        </is>
      </c>
      <c r="H58" s="2" t="inlineStr">
        <is>
          <t>$1563.54</t>
        </is>
      </c>
      <c r="I58" s="2" t="n">
        <v>34969.54</v>
      </c>
      <c r="J58" s="2" t="inlineStr">
        <is>
          <t>ATM</t>
        </is>
      </c>
      <c r="K58" s="2" t="inlineStr">
        <is>
          <t>N</t>
        </is>
      </c>
    </row>
    <row r="59">
      <c r="A59" s="2" t="inlineStr">
        <is>
          <t>TXN100059</t>
        </is>
      </c>
      <c r="B59" s="2" t="inlineStr">
        <is>
          <t xml:space="preserve">  CUST0059 </t>
        </is>
      </c>
      <c r="C59" s="2" t="inlineStr">
        <is>
          <t>2026-06-01 12:15:00</t>
        </is>
      </c>
      <c r="D59" s="2" t="inlineStr">
        <is>
          <t>Male</t>
        </is>
      </c>
      <c r="E59" s="2" t="n">
        <v>61</v>
      </c>
      <c r="F59" s="2" t="inlineStr">
        <is>
          <t>Investment</t>
        </is>
      </c>
      <c r="G59" s="2" t="inlineStr">
        <is>
          <t>groceries</t>
        </is>
      </c>
      <c r="H59" s="2" t="inlineStr">
        <is>
          <t>$7142.35</t>
        </is>
      </c>
      <c r="I59" s="2" t="n">
        <v>43091.81</v>
      </c>
      <c r="J59" s="2" t="inlineStr">
        <is>
          <t xml:space="preserve">Mobile App </t>
        </is>
      </c>
      <c r="K59" s="2" t="inlineStr">
        <is>
          <t>Y</t>
        </is>
      </c>
    </row>
    <row r="60">
      <c r="A60" s="2" t="inlineStr">
        <is>
          <t>TXN100060</t>
        </is>
      </c>
      <c r="B60" s="2" t="inlineStr">
        <is>
          <t xml:space="preserve">  CUST0060 </t>
        </is>
      </c>
      <c r="C60" s="2" t="inlineStr">
        <is>
          <t>2026-06-01 07:11:00</t>
        </is>
      </c>
      <c r="D60" s="2" t="n"/>
      <c r="E60" s="2" t="n">
        <v>23</v>
      </c>
      <c r="F60" s="2" t="inlineStr">
        <is>
          <t>Investment</t>
        </is>
      </c>
      <c r="G60" s="2" t="inlineStr">
        <is>
          <t>GROCERIES</t>
        </is>
      </c>
      <c r="H60" s="2" t="inlineStr">
        <is>
          <t>$7340.59</t>
        </is>
      </c>
      <c r="I60" s="2" t="n">
        <v>6507.25</v>
      </c>
      <c r="J60" s="2" t="inlineStr">
        <is>
          <t>Online Banking</t>
        </is>
      </c>
      <c r="K60" s="2" t="inlineStr">
        <is>
          <t>Y</t>
        </is>
      </c>
    </row>
    <row r="61">
      <c r="A61" s="2" t="inlineStr">
        <is>
          <t>TXN100061</t>
        </is>
      </c>
      <c r="B61" s="2" t="inlineStr">
        <is>
          <t xml:space="preserve">  CUST0061 </t>
        </is>
      </c>
      <c r="C61" s="2" t="inlineStr">
        <is>
          <t>2026-06-01 21:33:00</t>
        </is>
      </c>
      <c r="D61" s="2" t="inlineStr">
        <is>
          <t>Female</t>
        </is>
      </c>
      <c r="E61" s="2" t="n">
        <v>68</v>
      </c>
      <c r="F61" s="2" t="inlineStr">
        <is>
          <t>Checking</t>
        </is>
      </c>
      <c r="G61" s="2" t="inlineStr">
        <is>
          <t>Travel</t>
        </is>
      </c>
      <c r="H61" s="2" t="inlineStr">
        <is>
          <t>$6521.9</t>
        </is>
      </c>
      <c r="I61" s="2" t="n">
        <v>44655</v>
      </c>
      <c r="J61" s="2" t="inlineStr">
        <is>
          <t>ATM</t>
        </is>
      </c>
      <c r="K61" s="2" t="inlineStr">
        <is>
          <t>N</t>
        </is>
      </c>
    </row>
    <row r="62">
      <c r="A62" s="2" t="inlineStr">
        <is>
          <t>TXN100062</t>
        </is>
      </c>
      <c r="B62" s="2" t="inlineStr">
        <is>
          <t xml:space="preserve">  CUST0062 </t>
        </is>
      </c>
      <c r="C62" s="2" t="inlineStr">
        <is>
          <t>2026-06-01 17:28:00</t>
        </is>
      </c>
      <c r="D62" s="2" t="inlineStr">
        <is>
          <t>Male</t>
        </is>
      </c>
      <c r="E62" s="2" t="n">
        <v>67</v>
      </c>
      <c r="F62" s="2" t="inlineStr">
        <is>
          <t>Checking</t>
        </is>
      </c>
      <c r="G62" s="2" t="inlineStr">
        <is>
          <t>Utilities</t>
        </is>
      </c>
      <c r="H62" s="2" t="inlineStr">
        <is>
          <t>$2080.94</t>
        </is>
      </c>
      <c r="I62" s="2" t="n">
        <v>12738.37</v>
      </c>
      <c r="J62" s="2" t="inlineStr">
        <is>
          <t>Branch Office</t>
        </is>
      </c>
      <c r="K62" s="2" t="inlineStr">
        <is>
          <t>N</t>
        </is>
      </c>
    </row>
    <row r="63">
      <c r="A63" s="2" t="inlineStr">
        <is>
          <t>TXN100063</t>
        </is>
      </c>
      <c r="B63" s="2" t="inlineStr">
        <is>
          <t xml:space="preserve">  CUST0063 </t>
        </is>
      </c>
      <c r="C63" s="2" t="inlineStr">
        <is>
          <t>2026-06-01 16:31:00</t>
        </is>
      </c>
      <c r="D63" s="2" t="inlineStr">
        <is>
          <t>F</t>
        </is>
      </c>
      <c r="E63" s="2" t="n">
        <v>37</v>
      </c>
      <c r="F63" s="2" t="inlineStr">
        <is>
          <t>Checking</t>
        </is>
      </c>
      <c r="G63" s="2" t="inlineStr">
        <is>
          <t>groceries</t>
        </is>
      </c>
      <c r="H63" s="2" t="inlineStr">
        <is>
          <t>$5711.22</t>
        </is>
      </c>
      <c r="I63" s="2" t="n">
        <v>12107.43</v>
      </c>
      <c r="J63" s="2" t="inlineStr">
        <is>
          <t>Branch Office</t>
        </is>
      </c>
      <c r="K63" s="2" t="inlineStr">
        <is>
          <t>N</t>
        </is>
      </c>
    </row>
    <row r="64">
      <c r="A64" s="2" t="inlineStr">
        <is>
          <t>TXN100064</t>
        </is>
      </c>
      <c r="B64" s="2" t="inlineStr">
        <is>
          <t xml:space="preserve">  CUST0064 </t>
        </is>
      </c>
      <c r="C64" s="2" t="inlineStr">
        <is>
          <t>2026-06-01 10:57:00</t>
        </is>
      </c>
      <c r="D64" s="2" t="inlineStr">
        <is>
          <t>MALE</t>
        </is>
      </c>
      <c r="E64" s="2" t="n">
        <v>28</v>
      </c>
      <c r="F64" s="2" t="inlineStr">
        <is>
          <t>Savings</t>
        </is>
      </c>
      <c r="G64" s="2" t="inlineStr">
        <is>
          <t>GROCERIES</t>
        </is>
      </c>
      <c r="H64" s="2" t="inlineStr">
        <is>
          <t>$3070.45</t>
        </is>
      </c>
      <c r="I64" s="2" t="n">
        <v>8063.86</v>
      </c>
      <c r="J64" s="2" t="inlineStr">
        <is>
          <t>Online Banking</t>
        </is>
      </c>
      <c r="K64" s="2" t="inlineStr">
        <is>
          <t>N</t>
        </is>
      </c>
    </row>
    <row r="65">
      <c r="A65" s="2" t="inlineStr">
        <is>
          <t>TXN100065</t>
        </is>
      </c>
      <c r="B65" s="2" t="inlineStr">
        <is>
          <t xml:space="preserve">  CUST0065 </t>
        </is>
      </c>
      <c r="C65" s="2" t="inlineStr">
        <is>
          <t>2026-06-01 02:26:00</t>
        </is>
      </c>
      <c r="D65" s="3" t="inlineStr"/>
      <c r="E65" s="2" t="n">
        <v>41</v>
      </c>
      <c r="F65" s="2" t="inlineStr">
        <is>
          <t>Investment</t>
        </is>
      </c>
      <c r="G65" s="2" t="inlineStr">
        <is>
          <t>Utilities</t>
        </is>
      </c>
      <c r="H65" s="2" t="inlineStr">
        <is>
          <t>$3332.04</t>
        </is>
      </c>
      <c r="I65" s="2" t="n">
        <v>10738.3</v>
      </c>
      <c r="J65" s="2" t="inlineStr">
        <is>
          <t>ATM</t>
        </is>
      </c>
      <c r="K65" s="2" t="inlineStr">
        <is>
          <t>N</t>
        </is>
      </c>
    </row>
    <row r="66">
      <c r="A66" s="2" t="inlineStr">
        <is>
          <t>TXN100066</t>
        </is>
      </c>
      <c r="B66" s="2" t="inlineStr">
        <is>
          <t xml:space="preserve">  CUST0066 </t>
        </is>
      </c>
      <c r="C66" s="2" t="inlineStr">
        <is>
          <t>2026-06-01 12:57:00</t>
        </is>
      </c>
      <c r="D66" s="2" t="inlineStr">
        <is>
          <t>M</t>
        </is>
      </c>
      <c r="E66" s="2" t="n">
        <v>74</v>
      </c>
      <c r="F66" s="2" t="inlineStr">
        <is>
          <t>Investment</t>
        </is>
      </c>
      <c r="G66" s="2" t="inlineStr">
        <is>
          <t>Utilities</t>
        </is>
      </c>
      <c r="H66" s="2" t="inlineStr">
        <is>
          <t>$3821.07</t>
        </is>
      </c>
      <c r="I66" s="2" t="n">
        <v>47165.71</v>
      </c>
      <c r="J66" s="2" t="inlineStr">
        <is>
          <t>Branch Office</t>
        </is>
      </c>
      <c r="K66" s="2" t="inlineStr">
        <is>
          <t>N</t>
        </is>
      </c>
    </row>
    <row r="67">
      <c r="A67" s="2" t="inlineStr">
        <is>
          <t>TXN100067</t>
        </is>
      </c>
      <c r="B67" s="2" t="inlineStr">
        <is>
          <t xml:space="preserve">  CUST0067 </t>
        </is>
      </c>
      <c r="C67" s="2" t="inlineStr">
        <is>
          <t>2026-06-01 12:54:00</t>
        </is>
      </c>
      <c r="D67" s="3" t="inlineStr"/>
      <c r="E67" s="2" t="n">
        <v>54</v>
      </c>
      <c r="F67" s="2" t="inlineStr">
        <is>
          <t>Investment</t>
        </is>
      </c>
      <c r="G67" s="2" t="inlineStr">
        <is>
          <t>Travel</t>
        </is>
      </c>
      <c r="H67" s="2" t="inlineStr">
        <is>
          <t>$6400.95</t>
        </is>
      </c>
      <c r="I67" s="2" t="n">
        <v>44941.66</v>
      </c>
      <c r="J67" s="2" t="inlineStr">
        <is>
          <t>ATM</t>
        </is>
      </c>
      <c r="K67" s="2" t="inlineStr">
        <is>
          <t>N</t>
        </is>
      </c>
    </row>
    <row r="68">
      <c r="A68" s="2" t="inlineStr">
        <is>
          <t>TXN100068</t>
        </is>
      </c>
      <c r="B68" s="2" t="inlineStr">
        <is>
          <t xml:space="preserve">  CUST0068 </t>
        </is>
      </c>
      <c r="C68" s="2" t="inlineStr">
        <is>
          <t>2026-06-01 07:17:00</t>
        </is>
      </c>
      <c r="D68" s="3" t="inlineStr"/>
      <c r="E68" s="2" t="n">
        <v>51</v>
      </c>
      <c r="F68" s="2" t="inlineStr">
        <is>
          <t>Savings</t>
        </is>
      </c>
      <c r="G68" s="2" t="inlineStr">
        <is>
          <t>Utilities</t>
        </is>
      </c>
      <c r="H68" s="2" t="inlineStr">
        <is>
          <t>$2695.68</t>
        </is>
      </c>
      <c r="I68" s="2" t="n">
        <v>34117.52</v>
      </c>
      <c r="J68" s="2" t="inlineStr">
        <is>
          <t>ATM</t>
        </is>
      </c>
      <c r="K68" s="2" t="inlineStr">
        <is>
          <t>N</t>
        </is>
      </c>
    </row>
    <row r="69">
      <c r="A69" s="2" t="inlineStr">
        <is>
          <t>TXN100069</t>
        </is>
      </c>
      <c r="B69" s="2" t="inlineStr">
        <is>
          <t xml:space="preserve">  CUST0069 </t>
        </is>
      </c>
      <c r="C69" s="2" t="inlineStr">
        <is>
          <t>2026-06-01 23:10:00</t>
        </is>
      </c>
      <c r="D69" s="2" t="n"/>
      <c r="E69" s="2" t="n">
        <v>28</v>
      </c>
      <c r="F69" s="2" t="inlineStr">
        <is>
          <t>Investment</t>
        </is>
      </c>
      <c r="G69" s="2" t="inlineStr">
        <is>
          <t>Travel</t>
        </is>
      </c>
      <c r="H69" s="2" t="inlineStr">
        <is>
          <t>$225.46</t>
        </is>
      </c>
      <c r="I69" s="2" t="n">
        <v>20004</v>
      </c>
      <c r="J69" s="2" t="inlineStr">
        <is>
          <t xml:space="preserve">Mobile App </t>
        </is>
      </c>
      <c r="K69" s="2" t="inlineStr">
        <is>
          <t>N</t>
        </is>
      </c>
    </row>
    <row r="70">
      <c r="A70" s="2" t="inlineStr">
        <is>
          <t>TXN100070</t>
        </is>
      </c>
      <c r="B70" s="2" t="inlineStr">
        <is>
          <t xml:space="preserve">  CUST0070 </t>
        </is>
      </c>
      <c r="C70" s="2" t="inlineStr">
        <is>
          <t>2026-06-01 02:41:00</t>
        </is>
      </c>
      <c r="D70" s="3" t="inlineStr"/>
      <c r="E70" s="2" t="n">
        <v>28</v>
      </c>
      <c r="F70" s="2" t="inlineStr">
        <is>
          <t>Checking</t>
        </is>
      </c>
      <c r="G70" s="2" t="inlineStr">
        <is>
          <t>GROCERIES</t>
        </is>
      </c>
      <c r="H70" s="2" t="inlineStr">
        <is>
          <t>$411.77</t>
        </is>
      </c>
      <c r="I70" s="2" t="n">
        <v>19265.64</v>
      </c>
      <c r="J70" s="2" t="inlineStr">
        <is>
          <t>Online Banking</t>
        </is>
      </c>
      <c r="K70" s="2" t="inlineStr">
        <is>
          <t>N</t>
        </is>
      </c>
    </row>
    <row r="71">
      <c r="A71" s="2" t="inlineStr">
        <is>
          <t>TXN100071</t>
        </is>
      </c>
      <c r="B71" s="2" t="inlineStr">
        <is>
          <t xml:space="preserve">  CUST0071 </t>
        </is>
      </c>
      <c r="C71" s="2" t="inlineStr">
        <is>
          <t>2026-06-01 14:20:00</t>
        </is>
      </c>
      <c r="D71" s="2" t="inlineStr">
        <is>
          <t>Female</t>
        </is>
      </c>
      <c r="E71" s="2" t="n">
        <v>68</v>
      </c>
      <c r="F71" s="2" t="inlineStr">
        <is>
          <t>Checking</t>
        </is>
      </c>
      <c r="G71" s="2" t="inlineStr">
        <is>
          <t>Entertainment</t>
        </is>
      </c>
      <c r="H71" s="2" t="inlineStr">
        <is>
          <t>$6018.56</t>
        </is>
      </c>
      <c r="I71" s="2" t="n">
        <v>41680.25</v>
      </c>
      <c r="J71" s="2" t="inlineStr">
        <is>
          <t>Branch Office</t>
        </is>
      </c>
      <c r="K71" s="2" t="inlineStr">
        <is>
          <t>N</t>
        </is>
      </c>
    </row>
    <row r="72">
      <c r="A72" s="2" t="inlineStr">
        <is>
          <t>TXN100072</t>
        </is>
      </c>
      <c r="B72" s="2" t="inlineStr">
        <is>
          <t xml:space="preserve">  CUST0072 </t>
        </is>
      </c>
      <c r="C72" s="2" t="inlineStr">
        <is>
          <t>2026-06-01 02:30:00</t>
        </is>
      </c>
      <c r="D72" s="2" t="inlineStr">
        <is>
          <t>M</t>
        </is>
      </c>
      <c r="E72" s="2" t="n">
        <v>67</v>
      </c>
      <c r="F72" s="2" t="inlineStr">
        <is>
          <t>Investment</t>
        </is>
      </c>
      <c r="G72" s="2" t="inlineStr">
        <is>
          <t>groceries</t>
        </is>
      </c>
      <c r="H72" s="2" t="inlineStr">
        <is>
          <t>$7999.26</t>
        </is>
      </c>
      <c r="I72" s="2" t="n">
        <v>17823.04</v>
      </c>
      <c r="J72" s="2" t="inlineStr">
        <is>
          <t xml:space="preserve">Mobile App </t>
        </is>
      </c>
      <c r="K72" s="2" t="inlineStr">
        <is>
          <t>Y</t>
        </is>
      </c>
    </row>
    <row r="73">
      <c r="A73" s="2" t="inlineStr">
        <is>
          <t>TXN100073</t>
        </is>
      </c>
      <c r="B73" s="2" t="inlineStr">
        <is>
          <t xml:space="preserve">  CUST0073 </t>
        </is>
      </c>
      <c r="C73" s="2" t="inlineStr">
        <is>
          <t>2026-06-01 20:02:00</t>
        </is>
      </c>
      <c r="D73" s="2" t="inlineStr">
        <is>
          <t>M</t>
        </is>
      </c>
      <c r="E73" s="2" t="n">
        <v>35</v>
      </c>
      <c r="F73" s="2" t="inlineStr">
        <is>
          <t>Savings</t>
        </is>
      </c>
      <c r="G73" s="2" t="inlineStr">
        <is>
          <t>groceries</t>
        </is>
      </c>
      <c r="H73" s="2" t="inlineStr">
        <is>
          <t>$4974.47</t>
        </is>
      </c>
      <c r="I73" s="2" t="n">
        <v>12307.97</v>
      </c>
      <c r="J73" s="2" t="inlineStr">
        <is>
          <t>ATM</t>
        </is>
      </c>
      <c r="K73" s="2" t="inlineStr">
        <is>
          <t>N</t>
        </is>
      </c>
    </row>
    <row r="74">
      <c r="A74" s="2" t="inlineStr">
        <is>
          <t>TXN100074</t>
        </is>
      </c>
      <c r="B74" s="2" t="inlineStr">
        <is>
          <t xml:space="preserve">  CUST0074 </t>
        </is>
      </c>
      <c r="C74" s="2" t="inlineStr">
        <is>
          <t>2026-06-01 21:07:00</t>
        </is>
      </c>
      <c r="D74" s="2" t="inlineStr">
        <is>
          <t>F</t>
        </is>
      </c>
      <c r="E74" s="2" t="n">
        <v>49</v>
      </c>
      <c r="F74" s="2" t="inlineStr">
        <is>
          <t>Investment</t>
        </is>
      </c>
      <c r="G74" s="2" t="inlineStr">
        <is>
          <t>Entertainment</t>
        </is>
      </c>
      <c r="H74" s="2" t="inlineStr">
        <is>
          <t>$6137.52</t>
        </is>
      </c>
      <c r="I74" s="2" t="n">
        <v>8805.559999999999</v>
      </c>
      <c r="J74" s="2" t="inlineStr">
        <is>
          <t xml:space="preserve">Mobile App </t>
        </is>
      </c>
      <c r="K74" s="2" t="inlineStr">
        <is>
          <t>N</t>
        </is>
      </c>
    </row>
    <row r="75">
      <c r="A75" s="2" t="inlineStr">
        <is>
          <t>TXN100075</t>
        </is>
      </c>
      <c r="B75" s="2" t="inlineStr">
        <is>
          <t xml:space="preserve">  CUST0075 </t>
        </is>
      </c>
      <c r="C75" s="2" t="inlineStr">
        <is>
          <t>2026-06-01 05:19:00</t>
        </is>
      </c>
      <c r="D75" s="2" t="inlineStr">
        <is>
          <t>MALE</t>
        </is>
      </c>
      <c r="E75" s="2" t="n">
        <v>57</v>
      </c>
      <c r="F75" s="2" t="inlineStr">
        <is>
          <t>Savings</t>
        </is>
      </c>
      <c r="G75" s="2" t="inlineStr">
        <is>
          <t>Entertainment</t>
        </is>
      </c>
      <c r="H75" s="2" t="inlineStr">
        <is>
          <t>$4610.62</t>
        </is>
      </c>
      <c r="I75" s="2" t="n">
        <v>45447.29</v>
      </c>
      <c r="J75" s="2" t="inlineStr">
        <is>
          <t>ATM</t>
        </is>
      </c>
      <c r="K75" s="2" t="inlineStr">
        <is>
          <t>N</t>
        </is>
      </c>
    </row>
    <row r="76">
      <c r="A76" s="2" t="inlineStr">
        <is>
          <t>TXN100076</t>
        </is>
      </c>
      <c r="B76" s="2" t="inlineStr">
        <is>
          <t xml:space="preserve">  CUST0076 </t>
        </is>
      </c>
      <c r="C76" s="2" t="inlineStr">
        <is>
          <t>2026-06-01 12:45:00</t>
        </is>
      </c>
      <c r="D76" s="2" t="inlineStr">
        <is>
          <t>F</t>
        </is>
      </c>
      <c r="E76" s="2" t="n">
        <v>24</v>
      </c>
      <c r="F76" s="2" t="inlineStr">
        <is>
          <t>Investment</t>
        </is>
      </c>
      <c r="G76" s="2" t="inlineStr">
        <is>
          <t>GROCERIES</t>
        </is>
      </c>
      <c r="H76" s="2" t="inlineStr">
        <is>
          <t>$824.19</t>
        </is>
      </c>
      <c r="I76" s="2" t="n">
        <v>38737.8</v>
      </c>
      <c r="J76" s="2" t="inlineStr">
        <is>
          <t xml:space="preserve">Mobile App </t>
        </is>
      </c>
      <c r="K76" s="2" t="inlineStr">
        <is>
          <t>N</t>
        </is>
      </c>
    </row>
    <row r="77">
      <c r="A77" s="2" t="inlineStr">
        <is>
          <t>TXN100077</t>
        </is>
      </c>
      <c r="B77" s="2" t="inlineStr">
        <is>
          <t xml:space="preserve">  CUST0077 </t>
        </is>
      </c>
      <c r="C77" s="2" t="inlineStr">
        <is>
          <t>2026-06-01 18:50:00</t>
        </is>
      </c>
      <c r="D77" s="2" t="inlineStr">
        <is>
          <t>M</t>
        </is>
      </c>
      <c r="E77" s="2" t="n">
        <v>42</v>
      </c>
      <c r="F77" s="2" t="inlineStr">
        <is>
          <t>Investment</t>
        </is>
      </c>
      <c r="G77" s="2" t="inlineStr">
        <is>
          <t>Utilities</t>
        </is>
      </c>
      <c r="H77" s="2" t="inlineStr">
        <is>
          <t>$5295.56</t>
        </is>
      </c>
      <c r="I77" s="2" t="n">
        <v>3913.36</v>
      </c>
      <c r="J77" s="2" t="inlineStr">
        <is>
          <t>Branch Office</t>
        </is>
      </c>
      <c r="K77" s="2" t="inlineStr">
        <is>
          <t>N</t>
        </is>
      </c>
    </row>
    <row r="78">
      <c r="A78" s="2" t="inlineStr">
        <is>
          <t>TXN100078</t>
        </is>
      </c>
      <c r="B78" s="2" t="inlineStr">
        <is>
          <t xml:space="preserve">  CUST0078 </t>
        </is>
      </c>
      <c r="C78" s="2" t="inlineStr">
        <is>
          <t>2026-06-01 00:54:00</t>
        </is>
      </c>
      <c r="D78" s="3" t="inlineStr"/>
      <c r="E78" s="3" t="n">
        <v>-12</v>
      </c>
      <c r="F78" s="2" t="inlineStr">
        <is>
          <t>Checking</t>
        </is>
      </c>
      <c r="G78" s="2" t="inlineStr">
        <is>
          <t>groceries</t>
        </is>
      </c>
      <c r="H78" s="2" t="inlineStr">
        <is>
          <t>$3473.85</t>
        </is>
      </c>
      <c r="I78" s="2" t="n">
        <v>18428.31</v>
      </c>
      <c r="J78" s="2" t="inlineStr">
        <is>
          <t>ATM</t>
        </is>
      </c>
      <c r="K78" s="2" t="inlineStr">
        <is>
          <t>N</t>
        </is>
      </c>
    </row>
    <row r="79">
      <c r="A79" s="2" t="inlineStr">
        <is>
          <t>TXN100079</t>
        </is>
      </c>
      <c r="B79" s="2" t="inlineStr">
        <is>
          <t xml:space="preserve">  CUST0079 </t>
        </is>
      </c>
      <c r="C79" s="2" t="inlineStr">
        <is>
          <t>2026-06-01 22:09:00</t>
        </is>
      </c>
      <c r="D79" s="3" t="inlineStr"/>
      <c r="E79" s="2" t="n">
        <v>31</v>
      </c>
      <c r="F79" s="2" t="inlineStr">
        <is>
          <t>Investment</t>
        </is>
      </c>
      <c r="G79" s="2" t="inlineStr">
        <is>
          <t>Travel</t>
        </is>
      </c>
      <c r="H79" s="2" t="inlineStr">
        <is>
          <t>$7724.14</t>
        </is>
      </c>
      <c r="I79" s="2" t="n">
        <v>13869.08</v>
      </c>
      <c r="J79" s="2" t="inlineStr">
        <is>
          <t>ATM</t>
        </is>
      </c>
      <c r="K79" s="2" t="inlineStr">
        <is>
          <t>N</t>
        </is>
      </c>
    </row>
    <row r="80">
      <c r="A80" s="2" t="inlineStr">
        <is>
          <t>TXN100080</t>
        </is>
      </c>
      <c r="B80" s="2" t="inlineStr">
        <is>
          <t xml:space="preserve">  CUST0080 </t>
        </is>
      </c>
      <c r="C80" s="2" t="inlineStr">
        <is>
          <t>2026-06-01 23:37:00</t>
        </is>
      </c>
      <c r="D80" s="2" t="inlineStr">
        <is>
          <t>female</t>
        </is>
      </c>
      <c r="E80" s="2" t="n">
        <v>40</v>
      </c>
      <c r="F80" s="2" t="inlineStr">
        <is>
          <t>Savings</t>
        </is>
      </c>
      <c r="G80" s="2" t="inlineStr">
        <is>
          <t>groceries</t>
        </is>
      </c>
      <c r="H80" s="2" t="inlineStr">
        <is>
          <t>$2238.64</t>
        </is>
      </c>
      <c r="I80" s="2" t="n">
        <v>22814.7</v>
      </c>
      <c r="J80" s="2" t="inlineStr">
        <is>
          <t>ATM</t>
        </is>
      </c>
      <c r="K80" s="2" t="inlineStr">
        <is>
          <t>N</t>
        </is>
      </c>
    </row>
    <row r="81">
      <c r="A81" s="2" t="inlineStr">
        <is>
          <t>TXN100081</t>
        </is>
      </c>
      <c r="B81" s="2" t="inlineStr">
        <is>
          <t xml:space="preserve">  CUST0081 </t>
        </is>
      </c>
      <c r="C81" s="2" t="inlineStr">
        <is>
          <t>2026-06-01 18:39:00</t>
        </is>
      </c>
      <c r="D81" s="3" t="inlineStr"/>
      <c r="E81" s="2" t="n">
        <v>41</v>
      </c>
      <c r="F81" s="2" t="inlineStr">
        <is>
          <t>Savings</t>
        </is>
      </c>
      <c r="G81" s="2" t="inlineStr">
        <is>
          <t>Utilities</t>
        </is>
      </c>
      <c r="H81" s="2" t="inlineStr">
        <is>
          <t>$6809.11</t>
        </is>
      </c>
      <c r="I81" s="2" t="n">
        <v>9501.07</v>
      </c>
      <c r="J81" s="2" t="inlineStr">
        <is>
          <t>Online Banking</t>
        </is>
      </c>
      <c r="K81" s="2" t="inlineStr">
        <is>
          <t>N</t>
        </is>
      </c>
    </row>
    <row r="82">
      <c r="A82" s="2" t="inlineStr">
        <is>
          <t>TXN100082</t>
        </is>
      </c>
      <c r="B82" s="2" t="inlineStr">
        <is>
          <t xml:space="preserve">  CUST0082 </t>
        </is>
      </c>
      <c r="C82" s="2" t="inlineStr">
        <is>
          <t>2026-06-01 11:51:00</t>
        </is>
      </c>
      <c r="D82" s="2" t="inlineStr">
        <is>
          <t>female</t>
        </is>
      </c>
      <c r="E82" s="2" t="n">
        <v>41</v>
      </c>
      <c r="F82" s="2" t="inlineStr">
        <is>
          <t>Checking</t>
        </is>
      </c>
      <c r="G82" s="2" t="inlineStr">
        <is>
          <t>Travel</t>
        </is>
      </c>
      <c r="H82" s="2" t="inlineStr">
        <is>
          <t>$5612.46</t>
        </is>
      </c>
      <c r="I82" s="2" t="n">
        <v>14175.29</v>
      </c>
      <c r="J82" s="2" t="inlineStr">
        <is>
          <t xml:space="preserve">Mobile App </t>
        </is>
      </c>
      <c r="K82" s="2" t="inlineStr">
        <is>
          <t>N</t>
        </is>
      </c>
    </row>
    <row r="83">
      <c r="A83" s="2" t="inlineStr">
        <is>
          <t>TXN100083</t>
        </is>
      </c>
      <c r="B83" s="2" t="inlineStr">
        <is>
          <t xml:space="preserve">  CUST0083 </t>
        </is>
      </c>
      <c r="C83" s="2" t="inlineStr">
        <is>
          <t>2026-06-01 16:12:00</t>
        </is>
      </c>
      <c r="D83" s="2" t="inlineStr">
        <is>
          <t>MALE</t>
        </is>
      </c>
      <c r="E83" s="2" t="n">
        <v>35</v>
      </c>
      <c r="F83" s="2" t="inlineStr">
        <is>
          <t>Investment</t>
        </is>
      </c>
      <c r="G83" s="2" t="inlineStr">
        <is>
          <t>Utilities</t>
        </is>
      </c>
      <c r="H83" s="2" t="inlineStr">
        <is>
          <t>$3913.74</t>
        </is>
      </c>
      <c r="I83" s="2" t="n">
        <v>38029.15</v>
      </c>
      <c r="J83" s="2" t="inlineStr">
        <is>
          <t>ATM</t>
        </is>
      </c>
      <c r="K83" s="2" t="inlineStr">
        <is>
          <t>N</t>
        </is>
      </c>
    </row>
    <row r="84">
      <c r="A84" s="2" t="inlineStr">
        <is>
          <t>TXN100084</t>
        </is>
      </c>
      <c r="B84" s="2" t="inlineStr">
        <is>
          <t xml:space="preserve">  CUST0084 </t>
        </is>
      </c>
      <c r="C84" s="2" t="inlineStr">
        <is>
          <t>2026-06-01 20:45:00</t>
        </is>
      </c>
      <c r="D84" s="2" t="n"/>
      <c r="E84" s="2" t="n">
        <v>48</v>
      </c>
      <c r="F84" s="2" t="inlineStr">
        <is>
          <t>Savings</t>
        </is>
      </c>
      <c r="G84" s="2" t="inlineStr">
        <is>
          <t>groceries</t>
        </is>
      </c>
      <c r="H84" s="2" t="inlineStr">
        <is>
          <t>$2360.94</t>
        </is>
      </c>
      <c r="I84" s="2" t="n">
        <v>20517.86</v>
      </c>
      <c r="J84" s="2" t="inlineStr">
        <is>
          <t>Online Banking</t>
        </is>
      </c>
      <c r="K84" s="2" t="inlineStr">
        <is>
          <t>N</t>
        </is>
      </c>
    </row>
    <row r="85">
      <c r="A85" s="2" t="inlineStr">
        <is>
          <t>TXN100085</t>
        </is>
      </c>
      <c r="B85" s="2" t="inlineStr">
        <is>
          <t xml:space="preserve">  CUST0085 </t>
        </is>
      </c>
      <c r="C85" s="2" t="inlineStr">
        <is>
          <t>2026-06-01 09:42:00</t>
        </is>
      </c>
      <c r="D85" s="2" t="inlineStr">
        <is>
          <t>Female</t>
        </is>
      </c>
      <c r="E85" s="2" t="n">
        <v>50</v>
      </c>
      <c r="F85" s="2" t="inlineStr">
        <is>
          <t>Investment</t>
        </is>
      </c>
      <c r="G85" s="2" t="inlineStr">
        <is>
          <t>Travel</t>
        </is>
      </c>
      <c r="H85" s="2" t="inlineStr">
        <is>
          <t>$2756.62</t>
        </is>
      </c>
      <c r="I85" s="2" t="n">
        <v>49833.26</v>
      </c>
      <c r="J85" s="2" t="inlineStr">
        <is>
          <t>Branch Office</t>
        </is>
      </c>
      <c r="K85" s="2" t="inlineStr">
        <is>
          <t>N</t>
        </is>
      </c>
    </row>
    <row r="86">
      <c r="A86" s="2" t="inlineStr">
        <is>
          <t>TXN100086</t>
        </is>
      </c>
      <c r="B86" s="2" t="inlineStr">
        <is>
          <t xml:space="preserve">  CUST0086 </t>
        </is>
      </c>
      <c r="C86" s="2" t="inlineStr">
        <is>
          <t>2026-06-01 11:44:00</t>
        </is>
      </c>
      <c r="D86" s="2" t="n"/>
      <c r="E86" s="2" t="n">
        <v>37</v>
      </c>
      <c r="F86" s="2" t="inlineStr">
        <is>
          <t>Checking</t>
        </is>
      </c>
      <c r="G86" s="2" t="inlineStr">
        <is>
          <t>Entertainment</t>
        </is>
      </c>
      <c r="H86" s="2" t="inlineStr">
        <is>
          <t>$1852.0</t>
        </is>
      </c>
      <c r="I86" s="2" t="n">
        <v>36203.57</v>
      </c>
      <c r="J86" s="2" t="inlineStr">
        <is>
          <t>Branch Office</t>
        </is>
      </c>
      <c r="K86" s="2" t="inlineStr">
        <is>
          <t>N</t>
        </is>
      </c>
    </row>
    <row r="87">
      <c r="A87" s="2" t="inlineStr">
        <is>
          <t>TXN100087</t>
        </is>
      </c>
      <c r="B87" s="2" t="inlineStr">
        <is>
          <t xml:space="preserve">  CUST0087 </t>
        </is>
      </c>
      <c r="C87" s="2" t="inlineStr">
        <is>
          <t>2026-06-01 03:47:00</t>
        </is>
      </c>
      <c r="D87" s="2" t="inlineStr">
        <is>
          <t>Male</t>
        </is>
      </c>
      <c r="E87" s="2" t="n">
        <v>32</v>
      </c>
      <c r="F87" s="2" t="inlineStr">
        <is>
          <t>Savings</t>
        </is>
      </c>
      <c r="G87" s="2" t="inlineStr">
        <is>
          <t>Utilities</t>
        </is>
      </c>
      <c r="H87" s="2" t="inlineStr">
        <is>
          <t>$2219.23</t>
        </is>
      </c>
      <c r="I87" s="2" t="n">
        <v>29684.55</v>
      </c>
      <c r="J87" s="2" t="inlineStr">
        <is>
          <t>Branch Office</t>
        </is>
      </c>
      <c r="K87" s="2" t="inlineStr">
        <is>
          <t>N</t>
        </is>
      </c>
    </row>
    <row r="88">
      <c r="A88" s="2" t="inlineStr">
        <is>
          <t>TXN100088</t>
        </is>
      </c>
      <c r="B88" s="2" t="inlineStr">
        <is>
          <t xml:space="preserve">  CUST0088 </t>
        </is>
      </c>
      <c r="C88" s="2" t="inlineStr">
        <is>
          <t>2026-06-01 03:53:00</t>
        </is>
      </c>
      <c r="D88" s="2" t="inlineStr">
        <is>
          <t>F</t>
        </is>
      </c>
      <c r="E88" s="2" t="n">
        <v>38</v>
      </c>
      <c r="F88" s="2" t="inlineStr">
        <is>
          <t>Savings</t>
        </is>
      </c>
      <c r="G88" s="2" t="inlineStr">
        <is>
          <t>Entertainment</t>
        </is>
      </c>
      <c r="H88" s="2" t="inlineStr">
        <is>
          <t>$1443.74</t>
        </is>
      </c>
      <c r="I88" s="2" t="n">
        <v>1200.34</v>
      </c>
      <c r="J88" s="2" t="inlineStr">
        <is>
          <t>Online Banking</t>
        </is>
      </c>
      <c r="K88" s="2" t="inlineStr">
        <is>
          <t>N</t>
        </is>
      </c>
    </row>
    <row r="89">
      <c r="A89" s="2" t="inlineStr">
        <is>
          <t>TXN100089</t>
        </is>
      </c>
      <c r="B89" s="2" t="inlineStr">
        <is>
          <t xml:space="preserve">  CUST0089 </t>
        </is>
      </c>
      <c r="C89" s="2" t="inlineStr">
        <is>
          <t>2026-06-01 08:02:00</t>
        </is>
      </c>
      <c r="D89" s="2" t="inlineStr">
        <is>
          <t>M</t>
        </is>
      </c>
      <c r="E89" s="2" t="n">
        <v>55</v>
      </c>
      <c r="F89" s="2" t="inlineStr">
        <is>
          <t>Checking</t>
        </is>
      </c>
      <c r="G89" s="2" t="inlineStr">
        <is>
          <t>GROCERIES</t>
        </is>
      </c>
      <c r="H89" s="2" t="inlineStr">
        <is>
          <t>$5106.58</t>
        </is>
      </c>
      <c r="I89" s="2" t="n">
        <v>37763.21</v>
      </c>
      <c r="J89" s="2" t="inlineStr">
        <is>
          <t xml:space="preserve">Mobile App </t>
        </is>
      </c>
      <c r="K89" s="2" t="inlineStr">
        <is>
          <t>N</t>
        </is>
      </c>
    </row>
    <row r="90">
      <c r="A90" s="2" t="inlineStr">
        <is>
          <t>TXN100090</t>
        </is>
      </c>
      <c r="B90" s="2" t="inlineStr">
        <is>
          <t xml:space="preserve">  CUST0090 </t>
        </is>
      </c>
      <c r="C90" s="2" t="inlineStr">
        <is>
          <t>2026-06-01 00:36:00</t>
        </is>
      </c>
      <c r="D90" s="2" t="inlineStr">
        <is>
          <t>female</t>
        </is>
      </c>
      <c r="E90" s="2" t="n">
        <v>50</v>
      </c>
      <c r="F90" s="2" t="inlineStr">
        <is>
          <t>Checking</t>
        </is>
      </c>
      <c r="G90" s="2" t="inlineStr">
        <is>
          <t>Utilities</t>
        </is>
      </c>
      <c r="H90" s="2" t="inlineStr">
        <is>
          <t>$2732.24</t>
        </is>
      </c>
      <c r="I90" s="2" t="n">
        <v>48292.13</v>
      </c>
      <c r="J90" s="2" t="inlineStr">
        <is>
          <t>Branch Office</t>
        </is>
      </c>
      <c r="K90" s="2" t="inlineStr">
        <is>
          <t>N</t>
        </is>
      </c>
    </row>
    <row r="91">
      <c r="A91" s="2" t="inlineStr">
        <is>
          <t>TXN100091</t>
        </is>
      </c>
      <c r="B91" s="2" t="inlineStr">
        <is>
          <t xml:space="preserve">  CUST0091 </t>
        </is>
      </c>
      <c r="C91" s="2" t="inlineStr">
        <is>
          <t>2026-06-01 15:07:00</t>
        </is>
      </c>
      <c r="D91" s="2" t="inlineStr">
        <is>
          <t>MALE</t>
        </is>
      </c>
      <c r="E91" s="2" t="n">
        <v>45</v>
      </c>
      <c r="F91" s="2" t="inlineStr">
        <is>
          <t>Checking</t>
        </is>
      </c>
      <c r="G91" s="2" t="inlineStr">
        <is>
          <t>groceries</t>
        </is>
      </c>
      <c r="H91" s="2" t="inlineStr">
        <is>
          <t>$4620.4</t>
        </is>
      </c>
      <c r="I91" s="2" t="n">
        <v>34479.33</v>
      </c>
      <c r="J91" s="2" t="inlineStr">
        <is>
          <t>Online Banking</t>
        </is>
      </c>
      <c r="K91" s="2" t="inlineStr">
        <is>
          <t>N</t>
        </is>
      </c>
    </row>
    <row r="92">
      <c r="A92" s="2" t="inlineStr">
        <is>
          <t>TXN100092</t>
        </is>
      </c>
      <c r="B92" s="2" t="inlineStr">
        <is>
          <t xml:space="preserve">  CUST0092 </t>
        </is>
      </c>
      <c r="C92" s="2" t="inlineStr">
        <is>
          <t>2026-06-01 04:51:00</t>
        </is>
      </c>
      <c r="D92" s="2" t="inlineStr">
        <is>
          <t>female</t>
        </is>
      </c>
      <c r="E92" s="2" t="n">
        <v>25</v>
      </c>
      <c r="F92" s="2" t="inlineStr">
        <is>
          <t>Savings</t>
        </is>
      </c>
      <c r="G92" s="2" t="inlineStr">
        <is>
          <t>groceries</t>
        </is>
      </c>
      <c r="H92" s="2" t="inlineStr">
        <is>
          <t>$4469.0</t>
        </is>
      </c>
      <c r="I92" s="2" t="n">
        <v>21100.61</v>
      </c>
      <c r="J92" s="2" t="inlineStr">
        <is>
          <t>Online Banking</t>
        </is>
      </c>
      <c r="K92" s="2" t="inlineStr">
        <is>
          <t>N</t>
        </is>
      </c>
    </row>
    <row r="93">
      <c r="A93" s="2" t="inlineStr">
        <is>
          <t>TXN100093</t>
        </is>
      </c>
      <c r="B93" s="2" t="inlineStr">
        <is>
          <t xml:space="preserve">  CUST0093 </t>
        </is>
      </c>
      <c r="C93" s="2" t="inlineStr">
        <is>
          <t>2026-06-01 16:24:00</t>
        </is>
      </c>
      <c r="D93" s="2" t="n"/>
      <c r="E93" s="2" t="n">
        <v>48</v>
      </c>
      <c r="F93" s="2" t="inlineStr">
        <is>
          <t>Checking</t>
        </is>
      </c>
      <c r="G93" s="2" t="inlineStr">
        <is>
          <t>Travel</t>
        </is>
      </c>
      <c r="H93" s="2" t="inlineStr">
        <is>
          <t>$7920.35</t>
        </is>
      </c>
      <c r="I93" s="2" t="n">
        <v>15616.32</v>
      </c>
      <c r="J93" s="2" t="inlineStr">
        <is>
          <t xml:space="preserve">Mobile App </t>
        </is>
      </c>
      <c r="K93" s="2" t="inlineStr">
        <is>
          <t>Y</t>
        </is>
      </c>
    </row>
    <row r="94">
      <c r="A94" s="2" t="inlineStr">
        <is>
          <t>TXN100094</t>
        </is>
      </c>
      <c r="B94" s="2" t="inlineStr">
        <is>
          <t xml:space="preserve">  CUST0094 </t>
        </is>
      </c>
      <c r="C94" s="2" t="inlineStr">
        <is>
          <t>2026-06-01 23:06:00</t>
        </is>
      </c>
      <c r="D94" s="2" t="inlineStr">
        <is>
          <t>F</t>
        </is>
      </c>
      <c r="E94" s="2" t="n">
        <v>60</v>
      </c>
      <c r="F94" s="2" t="inlineStr">
        <is>
          <t>Savings</t>
        </is>
      </c>
      <c r="G94" s="2" t="inlineStr">
        <is>
          <t>Entertainment</t>
        </is>
      </c>
      <c r="H94" s="2" t="inlineStr">
        <is>
          <t>$5286.82</t>
        </is>
      </c>
      <c r="I94" s="2" t="n">
        <v>8274.33</v>
      </c>
      <c r="J94" s="2" t="inlineStr">
        <is>
          <t>Online Banking</t>
        </is>
      </c>
      <c r="K94" s="2" t="inlineStr">
        <is>
          <t>N</t>
        </is>
      </c>
    </row>
    <row r="95">
      <c r="A95" s="2" t="inlineStr">
        <is>
          <t>TXN100095</t>
        </is>
      </c>
      <c r="B95" s="2" t="inlineStr">
        <is>
          <t xml:space="preserve">  CUST0095 </t>
        </is>
      </c>
      <c r="C95" s="2" t="inlineStr">
        <is>
          <t>2026-06-01 17:04:00</t>
        </is>
      </c>
      <c r="D95" s="2" t="inlineStr">
        <is>
          <t>Male</t>
        </is>
      </c>
      <c r="E95" s="2" t="n">
        <v>20</v>
      </c>
      <c r="F95" s="2" t="inlineStr">
        <is>
          <t>Checking</t>
        </is>
      </c>
      <c r="G95" s="2" t="inlineStr">
        <is>
          <t>Utilities</t>
        </is>
      </c>
      <c r="H95" s="2" t="inlineStr">
        <is>
          <t>$5518.08</t>
        </is>
      </c>
      <c r="I95" s="2" t="n">
        <v>23760.67</v>
      </c>
      <c r="J95" s="2" t="inlineStr">
        <is>
          <t xml:space="preserve">Mobile App </t>
        </is>
      </c>
      <c r="K95" s="2" t="inlineStr">
        <is>
          <t>N</t>
        </is>
      </c>
    </row>
    <row r="96">
      <c r="A96" s="2" t="inlineStr">
        <is>
          <t>TXN100096</t>
        </is>
      </c>
      <c r="B96" s="2" t="inlineStr">
        <is>
          <t xml:space="preserve">  CUST0096 </t>
        </is>
      </c>
      <c r="C96" s="2" t="inlineStr">
        <is>
          <t>2026-06-01 07:18:00</t>
        </is>
      </c>
      <c r="D96" s="2" t="inlineStr">
        <is>
          <t>female</t>
        </is>
      </c>
      <c r="E96" s="2" t="n">
        <v>64</v>
      </c>
      <c r="F96" s="2" t="inlineStr">
        <is>
          <t>Checking</t>
        </is>
      </c>
      <c r="G96" s="2" t="inlineStr">
        <is>
          <t>groceries</t>
        </is>
      </c>
      <c r="H96" s="2" t="inlineStr">
        <is>
          <t>$5502.21</t>
        </is>
      </c>
      <c r="I96" s="2" t="n">
        <v>46233.6</v>
      </c>
      <c r="J96" s="2" t="inlineStr">
        <is>
          <t>Online Banking</t>
        </is>
      </c>
      <c r="K96" s="2" t="inlineStr">
        <is>
          <t>N</t>
        </is>
      </c>
    </row>
    <row r="97">
      <c r="A97" s="2" t="inlineStr">
        <is>
          <t>TXN100097</t>
        </is>
      </c>
      <c r="B97" s="2" t="inlineStr">
        <is>
          <t xml:space="preserve">  CUST0097 </t>
        </is>
      </c>
      <c r="C97" s="2" t="inlineStr">
        <is>
          <t>2026-06-01 13:07:00</t>
        </is>
      </c>
      <c r="D97" s="2" t="inlineStr">
        <is>
          <t>F</t>
        </is>
      </c>
      <c r="E97" s="2" t="n">
        <v>61</v>
      </c>
      <c r="F97" s="2" t="inlineStr">
        <is>
          <t>Savings</t>
        </is>
      </c>
      <c r="G97" s="2" t="inlineStr">
        <is>
          <t>Entertainment</t>
        </is>
      </c>
      <c r="H97" s="2" t="inlineStr">
        <is>
          <t>$6614.78</t>
        </is>
      </c>
      <c r="I97" s="2" t="n">
        <v>4034.79</v>
      </c>
      <c r="J97" s="2" t="inlineStr">
        <is>
          <t>Online Banking</t>
        </is>
      </c>
      <c r="K97" s="2" t="inlineStr">
        <is>
          <t>N</t>
        </is>
      </c>
    </row>
    <row r="98">
      <c r="A98" s="2" t="inlineStr">
        <is>
          <t>TXN100098</t>
        </is>
      </c>
      <c r="B98" s="2" t="inlineStr">
        <is>
          <t xml:space="preserve">  CUST0098 </t>
        </is>
      </c>
      <c r="C98" s="2" t="inlineStr">
        <is>
          <t>2026-06-01 09:38:00</t>
        </is>
      </c>
      <c r="D98" s="2" t="inlineStr">
        <is>
          <t>female</t>
        </is>
      </c>
      <c r="E98" s="2" t="n">
        <v>48</v>
      </c>
      <c r="F98" s="2" t="inlineStr">
        <is>
          <t>Savings</t>
        </is>
      </c>
      <c r="G98" s="2" t="inlineStr">
        <is>
          <t>Utilities</t>
        </is>
      </c>
      <c r="H98" s="2" t="inlineStr">
        <is>
          <t>$5512.54</t>
        </is>
      </c>
      <c r="I98" s="2" t="n">
        <v>35136.82</v>
      </c>
      <c r="J98" s="2" t="inlineStr">
        <is>
          <t>Branch Office</t>
        </is>
      </c>
      <c r="K98" s="2" t="inlineStr">
        <is>
          <t>N</t>
        </is>
      </c>
    </row>
    <row r="99">
      <c r="A99" s="2" t="inlineStr">
        <is>
          <t>TXN100099</t>
        </is>
      </c>
      <c r="B99" s="2" t="inlineStr">
        <is>
          <t xml:space="preserve">  CUST0099 </t>
        </is>
      </c>
      <c r="C99" s="2" t="inlineStr">
        <is>
          <t>2026-06-01 16:34:00</t>
        </is>
      </c>
      <c r="D99" s="2" t="n"/>
      <c r="E99" s="2" t="n">
        <v>48</v>
      </c>
      <c r="F99" s="2" t="inlineStr">
        <is>
          <t>Savings</t>
        </is>
      </c>
      <c r="G99" s="2" t="inlineStr">
        <is>
          <t>Travel</t>
        </is>
      </c>
      <c r="H99" s="2" t="inlineStr">
        <is>
          <t>$328.49</t>
        </is>
      </c>
      <c r="I99" s="2" t="n">
        <v>21885.42</v>
      </c>
      <c r="J99" s="2" t="inlineStr">
        <is>
          <t>Branch Office</t>
        </is>
      </c>
      <c r="K99" s="2" t="inlineStr">
        <is>
          <t>N</t>
        </is>
      </c>
    </row>
    <row r="100">
      <c r="A100" s="2" t="inlineStr">
        <is>
          <t>TXN100100</t>
        </is>
      </c>
      <c r="B100" s="2" t="inlineStr">
        <is>
          <t xml:space="preserve">  CUST0100 </t>
        </is>
      </c>
      <c r="C100" s="2" t="inlineStr">
        <is>
          <t>2026-06-01 19:16:00</t>
        </is>
      </c>
      <c r="D100" s="2" t="inlineStr">
        <is>
          <t>M</t>
        </is>
      </c>
      <c r="E100" s="2" t="n">
        <v>25</v>
      </c>
      <c r="F100" s="2" t="inlineStr">
        <is>
          <t>Savings</t>
        </is>
      </c>
      <c r="G100" s="2" t="inlineStr">
        <is>
          <t>Travel</t>
        </is>
      </c>
      <c r="H100" s="2" t="inlineStr">
        <is>
          <t>$4701.11</t>
        </is>
      </c>
      <c r="I100" s="2" t="n">
        <v>1526.9</v>
      </c>
      <c r="J100" s="2" t="inlineStr">
        <is>
          <t>Branch Office</t>
        </is>
      </c>
      <c r="K100" s="2" t="inlineStr">
        <is>
          <t>N</t>
        </is>
      </c>
    </row>
    <row r="101">
      <c r="A101" s="2" t="inlineStr">
        <is>
          <t>TXN100101</t>
        </is>
      </c>
      <c r="B101" s="2" t="inlineStr">
        <is>
          <t xml:space="preserve">  CUST0101 </t>
        </is>
      </c>
      <c r="C101" s="2" t="inlineStr">
        <is>
          <t>2026-06-01 18:02:00</t>
        </is>
      </c>
      <c r="D101" s="2" t="inlineStr">
        <is>
          <t>Male</t>
        </is>
      </c>
      <c r="E101" s="2" t="n">
        <v>50</v>
      </c>
      <c r="F101" s="2" t="inlineStr">
        <is>
          <t>Investment</t>
        </is>
      </c>
      <c r="G101" s="2" t="inlineStr">
        <is>
          <t>Utilities</t>
        </is>
      </c>
      <c r="H101" s="2" t="inlineStr">
        <is>
          <t>$7329.42</t>
        </is>
      </c>
      <c r="I101" s="2" t="n">
        <v>9483.709999999999</v>
      </c>
      <c r="J101" s="2" t="inlineStr">
        <is>
          <t>ATM</t>
        </is>
      </c>
      <c r="K101" s="2" t="inlineStr">
        <is>
          <t>Y</t>
        </is>
      </c>
    </row>
    <row r="102">
      <c r="A102" s="2" t="inlineStr">
        <is>
          <t>TXN100102</t>
        </is>
      </c>
      <c r="B102" s="2" t="inlineStr">
        <is>
          <t xml:space="preserve">  CUST0102 </t>
        </is>
      </c>
      <c r="C102" s="2" t="inlineStr">
        <is>
          <t>2026-06-01 15:05:00</t>
        </is>
      </c>
      <c r="D102" s="2" t="n"/>
      <c r="E102" s="2" t="n">
        <v>42</v>
      </c>
      <c r="F102" s="2" t="inlineStr">
        <is>
          <t>Checking</t>
        </is>
      </c>
      <c r="G102" s="2" t="inlineStr">
        <is>
          <t>Entertainment</t>
        </is>
      </c>
      <c r="H102" s="2" t="inlineStr">
        <is>
          <t>$2575.26</t>
        </is>
      </c>
      <c r="I102" s="2" t="n">
        <v>5677.69</v>
      </c>
      <c r="J102" s="2" t="inlineStr">
        <is>
          <t>Online Banking</t>
        </is>
      </c>
      <c r="K102" s="2" t="inlineStr">
        <is>
          <t>N</t>
        </is>
      </c>
    </row>
    <row r="103">
      <c r="A103" s="2" t="inlineStr">
        <is>
          <t>TXN100102</t>
        </is>
      </c>
      <c r="B103" s="2" t="inlineStr">
        <is>
          <t xml:space="preserve">  CUST0103 </t>
        </is>
      </c>
      <c r="C103" s="2" t="inlineStr">
        <is>
          <t>2026-06-01 10:26:00</t>
        </is>
      </c>
      <c r="D103" s="2" t="n"/>
      <c r="E103" s="2" t="n">
        <v>38</v>
      </c>
      <c r="F103" s="2" t="inlineStr">
        <is>
          <t>Investment</t>
        </is>
      </c>
      <c r="G103" s="2" t="inlineStr">
        <is>
          <t>Utilities</t>
        </is>
      </c>
      <c r="H103" s="2" t="inlineStr">
        <is>
          <t>$6510.39</t>
        </is>
      </c>
      <c r="I103" s="2" t="n">
        <v>27729.78</v>
      </c>
      <c r="J103" s="2" t="inlineStr">
        <is>
          <t>ATM</t>
        </is>
      </c>
      <c r="K103" s="2" t="inlineStr">
        <is>
          <t>N</t>
        </is>
      </c>
    </row>
    <row r="104">
      <c r="A104" s="2" t="inlineStr">
        <is>
          <t>TXN100104</t>
        </is>
      </c>
      <c r="B104" s="2" t="inlineStr">
        <is>
          <t xml:space="preserve">  CUST0104 </t>
        </is>
      </c>
      <c r="C104" s="2" t="inlineStr">
        <is>
          <t>2026-06-01 02:20:00</t>
        </is>
      </c>
      <c r="D104" s="2" t="inlineStr">
        <is>
          <t>female</t>
        </is>
      </c>
      <c r="E104" s="2" t="n">
        <v>40</v>
      </c>
      <c r="F104" s="2" t="inlineStr">
        <is>
          <t>Savings</t>
        </is>
      </c>
      <c r="G104" s="2" t="inlineStr">
        <is>
          <t>Utilities</t>
        </is>
      </c>
      <c r="H104" s="2" t="inlineStr">
        <is>
          <t>$6920.64</t>
        </is>
      </c>
      <c r="I104" s="2" t="n">
        <v>41333.9</v>
      </c>
      <c r="J104" s="2" t="inlineStr">
        <is>
          <t xml:space="preserve">Mobile App </t>
        </is>
      </c>
      <c r="K104" s="2" t="inlineStr">
        <is>
          <t>N</t>
        </is>
      </c>
    </row>
    <row r="105">
      <c r="A105" s="2" t="inlineStr">
        <is>
          <t>TXN100105</t>
        </is>
      </c>
      <c r="B105" s="2" t="inlineStr">
        <is>
          <t xml:space="preserve">  CUST0105 </t>
        </is>
      </c>
      <c r="C105" s="2" t="inlineStr">
        <is>
          <t>2026-06-01 21:55:00</t>
        </is>
      </c>
      <c r="D105" s="2" t="n"/>
      <c r="E105" s="2" t="n">
        <v>46</v>
      </c>
      <c r="F105" s="2" t="inlineStr">
        <is>
          <t>Savings</t>
        </is>
      </c>
      <c r="G105" s="2" t="inlineStr">
        <is>
          <t>GROCERIES</t>
        </is>
      </c>
      <c r="H105" s="2" t="inlineStr">
        <is>
          <t>$4152.33</t>
        </is>
      </c>
      <c r="I105" s="2" t="n">
        <v>31320.38</v>
      </c>
      <c r="J105" s="2" t="inlineStr">
        <is>
          <t>ATM</t>
        </is>
      </c>
      <c r="K105" s="2" t="inlineStr">
        <is>
          <t>N</t>
        </is>
      </c>
    </row>
    <row r="106">
      <c r="A106" s="2" t="inlineStr">
        <is>
          <t>TXN100106</t>
        </is>
      </c>
      <c r="B106" s="2" t="inlineStr">
        <is>
          <t xml:space="preserve">  CUST0106 </t>
        </is>
      </c>
      <c r="C106" s="2" t="inlineStr">
        <is>
          <t>2026-06-01 20:28:00</t>
        </is>
      </c>
      <c r="D106" s="2" t="inlineStr">
        <is>
          <t>M</t>
        </is>
      </c>
      <c r="E106" s="2" t="n">
        <v>33</v>
      </c>
      <c r="F106" s="2" t="inlineStr">
        <is>
          <t>Checking</t>
        </is>
      </c>
      <c r="G106" s="2" t="inlineStr">
        <is>
          <t>Travel</t>
        </is>
      </c>
      <c r="H106" s="2" t="inlineStr">
        <is>
          <t>$1056.8</t>
        </is>
      </c>
      <c r="I106" s="2" t="n">
        <v>14757.44</v>
      </c>
      <c r="J106" s="2" t="inlineStr">
        <is>
          <t>ATM</t>
        </is>
      </c>
      <c r="K106" s="2" t="inlineStr">
        <is>
          <t>N</t>
        </is>
      </c>
    </row>
    <row r="107">
      <c r="A107" s="2" t="inlineStr">
        <is>
          <t>TXN100107</t>
        </is>
      </c>
      <c r="B107" s="2" t="inlineStr">
        <is>
          <t xml:space="preserve">  CUST0107 </t>
        </is>
      </c>
      <c r="C107" s="2" t="inlineStr">
        <is>
          <t>2026-06-01 03:01:00</t>
        </is>
      </c>
      <c r="D107" s="2" t="inlineStr">
        <is>
          <t>F</t>
        </is>
      </c>
      <c r="E107" s="2" t="n">
        <v>65</v>
      </c>
      <c r="F107" s="2" t="inlineStr">
        <is>
          <t>Savings</t>
        </is>
      </c>
      <c r="G107" s="2" t="inlineStr">
        <is>
          <t>Entertainment</t>
        </is>
      </c>
      <c r="H107" s="2" t="inlineStr">
        <is>
          <t>$4411.2</t>
        </is>
      </c>
      <c r="I107" s="2" t="n">
        <v>27836.44</v>
      </c>
      <c r="J107" s="2" t="inlineStr">
        <is>
          <t xml:space="preserve">Mobile App </t>
        </is>
      </c>
      <c r="K107" s="2" t="inlineStr">
        <is>
          <t>N</t>
        </is>
      </c>
    </row>
    <row r="108">
      <c r="A108" s="2" t="inlineStr">
        <is>
          <t>TXN100108</t>
        </is>
      </c>
      <c r="B108" s="2" t="inlineStr">
        <is>
          <t xml:space="preserve">  CUST0108 </t>
        </is>
      </c>
      <c r="C108" s="2" t="inlineStr">
        <is>
          <t>2026-06-01 07:53:00</t>
        </is>
      </c>
      <c r="D108" s="2" t="inlineStr">
        <is>
          <t>MALE</t>
        </is>
      </c>
      <c r="E108" s="2" t="n">
        <v>49</v>
      </c>
      <c r="F108" s="2" t="inlineStr">
        <is>
          <t>Savings</t>
        </is>
      </c>
      <c r="G108" s="2" t="inlineStr">
        <is>
          <t>GROCERIES</t>
        </is>
      </c>
      <c r="H108" s="2" t="inlineStr">
        <is>
          <t>$3992.02</t>
        </is>
      </c>
      <c r="I108" s="2" t="n">
        <v>35971.86</v>
      </c>
      <c r="J108" s="2" t="inlineStr">
        <is>
          <t>Branch Office</t>
        </is>
      </c>
      <c r="K108" s="2" t="inlineStr">
        <is>
          <t>N</t>
        </is>
      </c>
    </row>
    <row r="109">
      <c r="A109" s="2" t="inlineStr">
        <is>
          <t>TXN100109</t>
        </is>
      </c>
      <c r="B109" s="2" t="inlineStr">
        <is>
          <t xml:space="preserve">  CUST0109 </t>
        </is>
      </c>
      <c r="C109" s="2" t="inlineStr">
        <is>
          <t>2026-06-01 13:53:00</t>
        </is>
      </c>
      <c r="D109" s="2" t="n"/>
      <c r="E109" s="2" t="n">
        <v>50</v>
      </c>
      <c r="F109" s="2" t="inlineStr">
        <is>
          <t>Savings</t>
        </is>
      </c>
      <c r="G109" s="2" t="inlineStr">
        <is>
          <t>Utilities</t>
        </is>
      </c>
      <c r="H109" s="2" t="inlineStr">
        <is>
          <t>$4414.61</t>
        </is>
      </c>
      <c r="I109" s="2" t="n">
        <v>19487.51</v>
      </c>
      <c r="J109" s="2" t="inlineStr">
        <is>
          <t>Online Banking</t>
        </is>
      </c>
      <c r="K109" s="2" t="inlineStr">
        <is>
          <t>N</t>
        </is>
      </c>
    </row>
    <row r="110">
      <c r="A110" s="2" t="inlineStr">
        <is>
          <t>TXN100110</t>
        </is>
      </c>
      <c r="B110" s="2" t="inlineStr">
        <is>
          <t xml:space="preserve">  CUST0110 </t>
        </is>
      </c>
      <c r="C110" s="2" t="inlineStr">
        <is>
          <t>2026-06-01 02:17:00</t>
        </is>
      </c>
      <c r="D110" s="3" t="inlineStr"/>
      <c r="E110" s="2" t="n">
        <v>41</v>
      </c>
      <c r="F110" s="2" t="inlineStr">
        <is>
          <t>Investment</t>
        </is>
      </c>
      <c r="G110" s="2" t="inlineStr">
        <is>
          <t>Entertainment</t>
        </is>
      </c>
      <c r="H110" s="2" t="inlineStr">
        <is>
          <t>$6566.19</t>
        </is>
      </c>
      <c r="I110" s="2" t="n">
        <v>14500.53</v>
      </c>
      <c r="J110" s="2" t="inlineStr">
        <is>
          <t>Branch Office</t>
        </is>
      </c>
      <c r="K110" s="2" t="inlineStr">
        <is>
          <t>N</t>
        </is>
      </c>
    </row>
    <row r="111">
      <c r="A111" s="2" t="inlineStr">
        <is>
          <t>TXN100111</t>
        </is>
      </c>
      <c r="B111" s="2" t="inlineStr">
        <is>
          <t xml:space="preserve">  CUST0111 </t>
        </is>
      </c>
      <c r="C111" s="2" t="inlineStr">
        <is>
          <t>2026-06-01 18:37:00</t>
        </is>
      </c>
      <c r="D111" s="2" t="n"/>
      <c r="E111" s="2" t="n">
        <v>75</v>
      </c>
      <c r="F111" s="2" t="inlineStr">
        <is>
          <t>Savings</t>
        </is>
      </c>
      <c r="G111" s="2" t="inlineStr">
        <is>
          <t>Utilities</t>
        </is>
      </c>
      <c r="H111" s="2" t="inlineStr">
        <is>
          <t>$4313.26</t>
        </is>
      </c>
      <c r="I111" s="2" t="n">
        <v>17583.64</v>
      </c>
      <c r="J111" s="2" t="inlineStr">
        <is>
          <t>ATM</t>
        </is>
      </c>
      <c r="K111" s="2" t="inlineStr">
        <is>
          <t>N</t>
        </is>
      </c>
    </row>
    <row r="112">
      <c r="A112" s="2" t="inlineStr">
        <is>
          <t>TXN100112</t>
        </is>
      </c>
      <c r="B112" s="2" t="inlineStr">
        <is>
          <t xml:space="preserve">  CUST0112 </t>
        </is>
      </c>
      <c r="C112" s="2" t="inlineStr">
        <is>
          <t>2026-06-01 14:59:00</t>
        </is>
      </c>
      <c r="D112" s="2" t="inlineStr">
        <is>
          <t>Female</t>
        </is>
      </c>
      <c r="E112" s="2" t="n">
        <v>45.7</v>
      </c>
      <c r="F112" s="2" t="inlineStr">
        <is>
          <t>Savings</t>
        </is>
      </c>
      <c r="G112" s="2" t="inlineStr">
        <is>
          <t>GROCERIES</t>
        </is>
      </c>
      <c r="H112" s="2" t="inlineStr">
        <is>
          <t>$4578.66</t>
        </is>
      </c>
      <c r="I112" s="2" t="n">
        <v>12061.34</v>
      </c>
      <c r="J112" s="2" t="inlineStr">
        <is>
          <t>ATM</t>
        </is>
      </c>
      <c r="K112" s="2" t="inlineStr">
        <is>
          <t>N</t>
        </is>
      </c>
    </row>
    <row r="113">
      <c r="A113" s="2" t="inlineStr">
        <is>
          <t>TXN100113</t>
        </is>
      </c>
      <c r="B113" s="2" t="inlineStr">
        <is>
          <t xml:space="preserve">  CUST0113 </t>
        </is>
      </c>
      <c r="C113" s="2" t="inlineStr">
        <is>
          <t>2026-06-01 01:20:00</t>
        </is>
      </c>
      <c r="D113" s="2" t="n"/>
      <c r="E113" s="2" t="n">
        <v>65</v>
      </c>
      <c r="F113" s="2" t="inlineStr">
        <is>
          <t>Checking</t>
        </is>
      </c>
      <c r="G113" s="2" t="inlineStr">
        <is>
          <t>Utilities</t>
        </is>
      </c>
      <c r="H113" s="2" t="inlineStr">
        <is>
          <t>$7907.43</t>
        </is>
      </c>
      <c r="I113" s="2" t="n">
        <v>39723.49</v>
      </c>
      <c r="J113" s="2" t="inlineStr">
        <is>
          <t>Online Banking</t>
        </is>
      </c>
      <c r="K113" s="2" t="inlineStr">
        <is>
          <t>N</t>
        </is>
      </c>
    </row>
    <row r="114">
      <c r="A114" s="2" t="inlineStr">
        <is>
          <t>TXN100114</t>
        </is>
      </c>
      <c r="B114" s="2" t="inlineStr">
        <is>
          <t xml:space="preserve">  CUST0114 </t>
        </is>
      </c>
      <c r="C114" s="2" t="inlineStr">
        <is>
          <t>2026-06-01 01:08:00</t>
        </is>
      </c>
      <c r="D114" s="2" t="inlineStr">
        <is>
          <t>Female</t>
        </is>
      </c>
      <c r="E114" s="2" t="n">
        <v>75</v>
      </c>
      <c r="F114" s="2" t="inlineStr">
        <is>
          <t>Savings</t>
        </is>
      </c>
      <c r="G114" s="2" t="inlineStr">
        <is>
          <t>Utilities</t>
        </is>
      </c>
      <c r="H114" s="2" t="inlineStr">
        <is>
          <t>$806.7</t>
        </is>
      </c>
      <c r="I114" s="2" t="n">
        <v>45566.86</v>
      </c>
      <c r="J114" s="2" t="inlineStr">
        <is>
          <t xml:space="preserve">Mobile App </t>
        </is>
      </c>
      <c r="K114" s="2" t="inlineStr">
        <is>
          <t>N</t>
        </is>
      </c>
    </row>
    <row r="115">
      <c r="A115" s="2" t="inlineStr">
        <is>
          <t>TXN100115</t>
        </is>
      </c>
      <c r="B115" s="2" t="inlineStr">
        <is>
          <t xml:space="preserve">  CUST0115 </t>
        </is>
      </c>
      <c r="C115" s="2" t="inlineStr">
        <is>
          <t>2026-06-01 23:09:00</t>
        </is>
      </c>
      <c r="D115" s="3" t="inlineStr"/>
      <c r="E115" s="2" t="n">
        <v>75</v>
      </c>
      <c r="F115" s="2" t="inlineStr">
        <is>
          <t>Investment</t>
        </is>
      </c>
      <c r="G115" s="2" t="inlineStr">
        <is>
          <t>GROCERIES</t>
        </is>
      </c>
      <c r="H115" s="2" t="inlineStr">
        <is>
          <t>$607.88</t>
        </is>
      </c>
      <c r="I115" s="2" t="n">
        <v>39185.5</v>
      </c>
      <c r="J115" s="2" t="inlineStr">
        <is>
          <t>Branch Office</t>
        </is>
      </c>
      <c r="K115" s="2" t="inlineStr">
        <is>
          <t>N</t>
        </is>
      </c>
    </row>
    <row r="116">
      <c r="A116" s="2" t="inlineStr">
        <is>
          <t>TXN100116</t>
        </is>
      </c>
      <c r="B116" s="2" t="inlineStr">
        <is>
          <t xml:space="preserve">  CUST0116 </t>
        </is>
      </c>
      <c r="C116" s="2" t="inlineStr">
        <is>
          <t>2026-06-01 10:39:00</t>
        </is>
      </c>
      <c r="D116" s="3" t="inlineStr"/>
      <c r="E116" s="2" t="n">
        <v>61</v>
      </c>
      <c r="F116" s="2" t="inlineStr">
        <is>
          <t>Savings</t>
        </is>
      </c>
      <c r="G116" s="2" t="inlineStr">
        <is>
          <t>Entertainment</t>
        </is>
      </c>
      <c r="H116" s="2" t="inlineStr">
        <is>
          <t>$6820.21</t>
        </is>
      </c>
      <c r="I116" s="2" t="n">
        <v>43037.44</v>
      </c>
      <c r="J116" s="2" t="inlineStr">
        <is>
          <t>ATM</t>
        </is>
      </c>
      <c r="K116" s="2" t="inlineStr">
        <is>
          <t>N</t>
        </is>
      </c>
    </row>
    <row r="117">
      <c r="A117" s="2" t="inlineStr">
        <is>
          <t>TXN100117</t>
        </is>
      </c>
      <c r="B117" s="2" t="inlineStr">
        <is>
          <t xml:space="preserve">  CUST0117 </t>
        </is>
      </c>
      <c r="C117" s="2" t="inlineStr">
        <is>
          <t>2026-06-01 10:40:00</t>
        </is>
      </c>
      <c r="D117" s="2" t="n"/>
      <c r="E117" s="2" t="n">
        <v>75</v>
      </c>
      <c r="F117" s="2" t="inlineStr">
        <is>
          <t>Investment</t>
        </is>
      </c>
      <c r="G117" s="2" t="inlineStr">
        <is>
          <t>groceries</t>
        </is>
      </c>
      <c r="H117" s="2" t="inlineStr">
        <is>
          <t>$4943.5</t>
        </is>
      </c>
      <c r="I117" s="2" t="n">
        <v>12121.13</v>
      </c>
      <c r="J117" s="2" t="inlineStr">
        <is>
          <t>Branch Office</t>
        </is>
      </c>
      <c r="K117" s="2" t="inlineStr">
        <is>
          <t>N</t>
        </is>
      </c>
    </row>
    <row r="118">
      <c r="A118" s="2" t="inlineStr">
        <is>
          <t>TXN100118</t>
        </is>
      </c>
      <c r="B118" s="2" t="inlineStr">
        <is>
          <t xml:space="preserve">  CUST0118 </t>
        </is>
      </c>
      <c r="C118" s="2" t="inlineStr">
        <is>
          <t>2026-06-01 07:47:00</t>
        </is>
      </c>
      <c r="D118" s="2" t="inlineStr">
        <is>
          <t>MALE</t>
        </is>
      </c>
      <c r="E118" s="2" t="n">
        <v>47</v>
      </c>
      <c r="F118" s="2" t="inlineStr">
        <is>
          <t>Savings</t>
        </is>
      </c>
      <c r="G118" s="2" t="inlineStr">
        <is>
          <t>groceries</t>
        </is>
      </c>
      <c r="H118" s="2" t="inlineStr">
        <is>
          <t>$3554.99</t>
        </is>
      </c>
      <c r="I118" s="2" t="n">
        <v>34853.06</v>
      </c>
      <c r="J118" s="2" t="inlineStr">
        <is>
          <t xml:space="preserve">Mobile App </t>
        </is>
      </c>
      <c r="K118" s="2" t="inlineStr">
        <is>
          <t>N</t>
        </is>
      </c>
    </row>
    <row r="119">
      <c r="A119" s="2" t="inlineStr">
        <is>
          <t>TXN100119</t>
        </is>
      </c>
      <c r="B119" s="2" t="inlineStr">
        <is>
          <t xml:space="preserve">  CUST0119 </t>
        </is>
      </c>
      <c r="C119" s="2" t="inlineStr">
        <is>
          <t>2026-06-01 01:20:00</t>
        </is>
      </c>
      <c r="D119" s="2" t="inlineStr">
        <is>
          <t>M</t>
        </is>
      </c>
      <c r="E119" s="2" t="n">
        <v>38</v>
      </c>
      <c r="F119" s="2" t="inlineStr">
        <is>
          <t>Checking</t>
        </is>
      </c>
      <c r="G119" s="2" t="inlineStr">
        <is>
          <t>Entertainment</t>
        </is>
      </c>
      <c r="H119" s="2" t="inlineStr">
        <is>
          <t>$3451.19</t>
        </is>
      </c>
      <c r="I119" s="2" t="n">
        <v>12587.77</v>
      </c>
      <c r="J119" s="2" t="inlineStr">
        <is>
          <t>ATM</t>
        </is>
      </c>
      <c r="K119" s="2" t="inlineStr">
        <is>
          <t>N</t>
        </is>
      </c>
    </row>
    <row r="120">
      <c r="A120" s="2" t="inlineStr">
        <is>
          <t>TXN100120</t>
        </is>
      </c>
      <c r="B120" s="2" t="inlineStr">
        <is>
          <t xml:space="preserve">  CUST0120 </t>
        </is>
      </c>
      <c r="C120" s="2" t="inlineStr">
        <is>
          <t>2026-06-01 18:43:00</t>
        </is>
      </c>
      <c r="D120" s="2" t="inlineStr">
        <is>
          <t>Male</t>
        </is>
      </c>
      <c r="E120" s="2" t="n">
        <v>30</v>
      </c>
      <c r="F120" s="2" t="inlineStr">
        <is>
          <t>Savings</t>
        </is>
      </c>
      <c r="G120" s="2" t="inlineStr">
        <is>
          <t>groceries</t>
        </is>
      </c>
      <c r="H120" s="2" t="inlineStr">
        <is>
          <t>$4879.84</t>
        </is>
      </c>
      <c r="I120" s="2" t="n">
        <v>19435.94</v>
      </c>
      <c r="J120" s="2" t="inlineStr">
        <is>
          <t>Online Banking</t>
        </is>
      </c>
      <c r="K120" s="2" t="inlineStr">
        <is>
          <t>N</t>
        </is>
      </c>
    </row>
    <row r="121">
      <c r="A121" s="2" t="inlineStr">
        <is>
          <t>TXN100121</t>
        </is>
      </c>
      <c r="B121" s="2" t="inlineStr">
        <is>
          <t xml:space="preserve">  CUST0121 </t>
        </is>
      </c>
      <c r="C121" s="2" t="inlineStr">
        <is>
          <t>2026-06-01 15:58:00</t>
        </is>
      </c>
      <c r="D121" s="2" t="inlineStr">
        <is>
          <t>Male</t>
        </is>
      </c>
      <c r="E121" s="2" t="n">
        <v>34</v>
      </c>
      <c r="F121" s="2" t="inlineStr">
        <is>
          <t>Checking</t>
        </is>
      </c>
      <c r="G121" s="2" t="inlineStr">
        <is>
          <t>Entertainment</t>
        </is>
      </c>
      <c r="H121" s="2" t="inlineStr">
        <is>
          <t>$3681.97</t>
        </is>
      </c>
      <c r="I121" s="2" t="n">
        <v>33508.62</v>
      </c>
      <c r="J121" s="2" t="inlineStr">
        <is>
          <t>ATM</t>
        </is>
      </c>
      <c r="K121" s="2" t="inlineStr">
        <is>
          <t>N</t>
        </is>
      </c>
    </row>
    <row r="122">
      <c r="A122" s="2" t="inlineStr">
        <is>
          <t>TXN100122</t>
        </is>
      </c>
      <c r="B122" s="2" t="inlineStr">
        <is>
          <t xml:space="preserve">  CUST0122 </t>
        </is>
      </c>
      <c r="C122" s="2" t="inlineStr">
        <is>
          <t>2026-06-01 09:43:00</t>
        </is>
      </c>
      <c r="D122" s="2" t="inlineStr">
        <is>
          <t>Male</t>
        </is>
      </c>
      <c r="E122" s="2" t="n">
        <v>24</v>
      </c>
      <c r="F122" s="2" t="inlineStr">
        <is>
          <t>Checking</t>
        </is>
      </c>
      <c r="G122" s="2" t="inlineStr">
        <is>
          <t>Entertainment</t>
        </is>
      </c>
      <c r="H122" s="2" t="inlineStr">
        <is>
          <t>$7901.34</t>
        </is>
      </c>
      <c r="I122" s="2" t="n">
        <v>15308.14</v>
      </c>
      <c r="J122" s="2" t="inlineStr">
        <is>
          <t>ATM</t>
        </is>
      </c>
      <c r="K122" s="2" t="inlineStr">
        <is>
          <t>Y</t>
        </is>
      </c>
    </row>
    <row r="123">
      <c r="A123" s="2" t="inlineStr">
        <is>
          <t>TXN100123</t>
        </is>
      </c>
      <c r="B123" s="2" t="inlineStr">
        <is>
          <t xml:space="preserve">  CUST0123 </t>
        </is>
      </c>
      <c r="C123" s="2" t="inlineStr">
        <is>
          <t>2026-06-01 14:54:00</t>
        </is>
      </c>
      <c r="D123" s="2" t="inlineStr">
        <is>
          <t>female</t>
        </is>
      </c>
      <c r="E123" s="2" t="n">
        <v>32</v>
      </c>
      <c r="F123" s="2" t="inlineStr">
        <is>
          <t>Checking</t>
        </is>
      </c>
      <c r="G123" s="2" t="inlineStr">
        <is>
          <t>Utilities</t>
        </is>
      </c>
      <c r="H123" s="2" t="inlineStr">
        <is>
          <t>$862.16</t>
        </is>
      </c>
      <c r="I123" s="2" t="n">
        <v>19377.53</v>
      </c>
      <c r="J123" s="2" t="inlineStr">
        <is>
          <t>Branch Office</t>
        </is>
      </c>
      <c r="K123" s="2" t="inlineStr">
        <is>
          <t>N</t>
        </is>
      </c>
    </row>
    <row r="124">
      <c r="A124" s="2" t="inlineStr">
        <is>
          <t>TXN100124</t>
        </is>
      </c>
      <c r="B124" s="2" t="inlineStr">
        <is>
          <t xml:space="preserve">  CUST0124 </t>
        </is>
      </c>
      <c r="C124" s="2" t="inlineStr">
        <is>
          <t>2026-06-01 18:18:00</t>
        </is>
      </c>
      <c r="D124" s="2" t="inlineStr">
        <is>
          <t>female</t>
        </is>
      </c>
      <c r="E124" s="2" t="n">
        <v>21</v>
      </c>
      <c r="F124" s="2" t="inlineStr">
        <is>
          <t>Investment</t>
        </is>
      </c>
      <c r="G124" s="2" t="inlineStr">
        <is>
          <t>Utilities</t>
        </is>
      </c>
      <c r="H124" s="2" t="inlineStr">
        <is>
          <t>$2203.1</t>
        </is>
      </c>
      <c r="I124" s="2" t="n">
        <v>28513.49</v>
      </c>
      <c r="J124" s="2" t="inlineStr">
        <is>
          <t xml:space="preserve">Mobile App </t>
        </is>
      </c>
      <c r="K124" s="2" t="inlineStr">
        <is>
          <t>N</t>
        </is>
      </c>
    </row>
    <row r="125">
      <c r="A125" s="2" t="inlineStr">
        <is>
          <t>TXN100125</t>
        </is>
      </c>
      <c r="B125" s="2" t="inlineStr">
        <is>
          <t xml:space="preserve">  CUST0125 </t>
        </is>
      </c>
      <c r="C125" s="2" t="inlineStr">
        <is>
          <t>2026-06-01 19:47:00</t>
        </is>
      </c>
      <c r="D125" s="2" t="n"/>
      <c r="E125" s="2" t="n">
        <v>73</v>
      </c>
      <c r="F125" s="2" t="inlineStr">
        <is>
          <t>Checking</t>
        </is>
      </c>
      <c r="G125" s="2" t="inlineStr">
        <is>
          <t>GROCERIES</t>
        </is>
      </c>
      <c r="H125" s="2" t="inlineStr">
        <is>
          <t>$4860.45</t>
        </is>
      </c>
      <c r="I125" s="2" t="n">
        <v>17939.89</v>
      </c>
      <c r="J125" s="2" t="inlineStr">
        <is>
          <t>Online Banking</t>
        </is>
      </c>
      <c r="K125" s="2" t="inlineStr">
        <is>
          <t>N</t>
        </is>
      </c>
    </row>
    <row r="126">
      <c r="A126" s="2" t="inlineStr">
        <is>
          <t>TXN100126</t>
        </is>
      </c>
      <c r="B126" s="2" t="inlineStr">
        <is>
          <t xml:space="preserve">  CUST0126 </t>
        </is>
      </c>
      <c r="C126" s="2" t="inlineStr">
        <is>
          <t>2026-06-01 19:16:00</t>
        </is>
      </c>
      <c r="D126" s="2" t="inlineStr">
        <is>
          <t>Male</t>
        </is>
      </c>
      <c r="E126" s="2" t="n">
        <v>60</v>
      </c>
      <c r="F126" s="2" t="inlineStr">
        <is>
          <t>Savings</t>
        </is>
      </c>
      <c r="G126" s="2" t="inlineStr">
        <is>
          <t>groceries</t>
        </is>
      </c>
      <c r="H126" s="2" t="inlineStr">
        <is>
          <t>$2478.37</t>
        </is>
      </c>
      <c r="I126" s="2" t="n">
        <v>22320.75</v>
      </c>
      <c r="J126" s="2" t="inlineStr">
        <is>
          <t>Branch Office</t>
        </is>
      </c>
      <c r="K126" s="2" t="inlineStr">
        <is>
          <t>N</t>
        </is>
      </c>
    </row>
    <row r="127">
      <c r="A127" s="2" t="inlineStr">
        <is>
          <t>TXN100127</t>
        </is>
      </c>
      <c r="B127" s="2" t="inlineStr">
        <is>
          <t xml:space="preserve">  CUST0127 </t>
        </is>
      </c>
      <c r="C127" s="2" t="inlineStr">
        <is>
          <t>2026-06-01 23:08:00</t>
        </is>
      </c>
      <c r="D127" s="2" t="inlineStr">
        <is>
          <t>MALE</t>
        </is>
      </c>
      <c r="E127" s="2" t="n">
        <v>38</v>
      </c>
      <c r="F127" s="2" t="inlineStr">
        <is>
          <t>Checking</t>
        </is>
      </c>
      <c r="G127" s="2" t="inlineStr">
        <is>
          <t>Utilities</t>
        </is>
      </c>
      <c r="H127" s="2" t="inlineStr">
        <is>
          <t>$1413.36</t>
        </is>
      </c>
      <c r="I127" s="2" t="n">
        <v>7041.91</v>
      </c>
      <c r="J127" s="2" t="inlineStr">
        <is>
          <t>Branch Office</t>
        </is>
      </c>
      <c r="K127" s="2" t="inlineStr">
        <is>
          <t>N</t>
        </is>
      </c>
    </row>
    <row r="128">
      <c r="A128" s="2" t="inlineStr">
        <is>
          <t>TXN100128</t>
        </is>
      </c>
      <c r="B128" s="2" t="inlineStr">
        <is>
          <t xml:space="preserve">  CUST0128 </t>
        </is>
      </c>
      <c r="C128" s="2" t="inlineStr">
        <is>
          <t>2026-06-01 16:32:00</t>
        </is>
      </c>
      <c r="D128" s="2" t="inlineStr">
        <is>
          <t>female</t>
        </is>
      </c>
      <c r="E128" s="2" t="n">
        <v>73</v>
      </c>
      <c r="F128" s="2" t="inlineStr">
        <is>
          <t>Savings</t>
        </is>
      </c>
      <c r="G128" s="2" t="inlineStr">
        <is>
          <t>Entertainment</t>
        </is>
      </c>
      <c r="H128" s="2" t="inlineStr">
        <is>
          <t>$7313.25</t>
        </is>
      </c>
      <c r="I128" s="2" t="n">
        <v>47237.3</v>
      </c>
      <c r="J128" s="2" t="inlineStr">
        <is>
          <t>Branch Office</t>
        </is>
      </c>
      <c r="K128" s="2" t="inlineStr">
        <is>
          <t>Y</t>
        </is>
      </c>
    </row>
    <row r="129">
      <c r="A129" s="2" t="inlineStr">
        <is>
          <t>TXN100129</t>
        </is>
      </c>
      <c r="B129" s="2" t="inlineStr">
        <is>
          <t xml:space="preserve">  CUST0129 </t>
        </is>
      </c>
      <c r="C129" s="2" t="inlineStr">
        <is>
          <t>2026-06-01 10:51:00</t>
        </is>
      </c>
      <c r="D129" s="2" t="inlineStr">
        <is>
          <t>MALE</t>
        </is>
      </c>
      <c r="E129" s="2" t="n">
        <v>49</v>
      </c>
      <c r="F129" s="2" t="inlineStr">
        <is>
          <t>Savings</t>
        </is>
      </c>
      <c r="G129" s="2" t="inlineStr">
        <is>
          <t>GROCERIES</t>
        </is>
      </c>
      <c r="H129" s="2" t="inlineStr">
        <is>
          <t>$6035.67</t>
        </is>
      </c>
      <c r="I129" s="2" t="n">
        <v>11667.93</v>
      </c>
      <c r="J129" s="2" t="inlineStr">
        <is>
          <t>ATM</t>
        </is>
      </c>
      <c r="K129" s="2" t="inlineStr">
        <is>
          <t>N</t>
        </is>
      </c>
    </row>
    <row r="130">
      <c r="A130" s="2" t="inlineStr">
        <is>
          <t>TXN100130</t>
        </is>
      </c>
      <c r="B130" s="2" t="inlineStr">
        <is>
          <t xml:space="preserve">  CUST0130 </t>
        </is>
      </c>
      <c r="C130" s="2" t="inlineStr">
        <is>
          <t>2026-06-01 17:23:00</t>
        </is>
      </c>
      <c r="D130" s="2" t="inlineStr">
        <is>
          <t>MALE</t>
        </is>
      </c>
      <c r="E130" s="2" t="n">
        <v>70</v>
      </c>
      <c r="F130" s="2" t="inlineStr">
        <is>
          <t>Checking</t>
        </is>
      </c>
      <c r="G130" s="2" t="inlineStr">
        <is>
          <t>groceries</t>
        </is>
      </c>
      <c r="H130" s="2" t="inlineStr">
        <is>
          <t>$2123.02</t>
        </is>
      </c>
      <c r="I130" s="2" t="n">
        <v>6617.64</v>
      </c>
      <c r="J130" s="2" t="inlineStr">
        <is>
          <t>Branch Office</t>
        </is>
      </c>
      <c r="K130" s="2" t="inlineStr">
        <is>
          <t>N</t>
        </is>
      </c>
    </row>
    <row r="131">
      <c r="A131" s="2" t="inlineStr">
        <is>
          <t>TXN100131</t>
        </is>
      </c>
      <c r="B131" s="2" t="inlineStr">
        <is>
          <t xml:space="preserve">  CUST0131 </t>
        </is>
      </c>
      <c r="C131" s="2" t="inlineStr">
        <is>
          <t>2026-06-01 21:47:00</t>
        </is>
      </c>
      <c r="D131" s="2" t="inlineStr">
        <is>
          <t>female</t>
        </is>
      </c>
      <c r="E131" s="2" t="n">
        <v>57</v>
      </c>
      <c r="F131" s="2" t="inlineStr">
        <is>
          <t>Checking</t>
        </is>
      </c>
      <c r="G131" s="2" t="inlineStr">
        <is>
          <t>Entertainment</t>
        </is>
      </c>
      <c r="H131" s="2" t="inlineStr">
        <is>
          <t>$875.69</t>
        </is>
      </c>
      <c r="I131" s="2" t="n">
        <v>12074.18</v>
      </c>
      <c r="J131" s="2" t="inlineStr">
        <is>
          <t xml:space="preserve">Mobile App </t>
        </is>
      </c>
      <c r="K131" s="2" t="inlineStr">
        <is>
          <t>N</t>
        </is>
      </c>
    </row>
    <row r="132">
      <c r="A132" s="2" t="inlineStr">
        <is>
          <t>TXN100132</t>
        </is>
      </c>
      <c r="B132" s="2" t="inlineStr">
        <is>
          <t xml:space="preserve">  CUST0132 </t>
        </is>
      </c>
      <c r="C132" s="2" t="inlineStr">
        <is>
          <t>2026-06-01 19:56:00</t>
        </is>
      </c>
      <c r="D132" s="2" t="inlineStr">
        <is>
          <t>Female</t>
        </is>
      </c>
      <c r="E132" s="2" t="n">
        <v>59</v>
      </c>
      <c r="F132" s="2" t="inlineStr">
        <is>
          <t>Savings</t>
        </is>
      </c>
      <c r="G132" s="2" t="inlineStr">
        <is>
          <t>groceries</t>
        </is>
      </c>
      <c r="H132" s="2" t="inlineStr">
        <is>
          <t>$5086.88</t>
        </is>
      </c>
      <c r="I132" s="2" t="n">
        <v>23481.24</v>
      </c>
      <c r="J132" s="2" t="inlineStr">
        <is>
          <t>Branch Office</t>
        </is>
      </c>
      <c r="K132" s="2" t="inlineStr">
        <is>
          <t>N</t>
        </is>
      </c>
    </row>
    <row r="133">
      <c r="A133" s="2" t="inlineStr">
        <is>
          <t>TXN100133</t>
        </is>
      </c>
      <c r="B133" s="2" t="inlineStr">
        <is>
          <t xml:space="preserve">  CUST0133 </t>
        </is>
      </c>
      <c r="C133" s="2" t="inlineStr">
        <is>
          <t>2026-06-01 20:26:00</t>
        </is>
      </c>
      <c r="D133" s="2" t="inlineStr">
        <is>
          <t>MALE</t>
        </is>
      </c>
      <c r="E133" s="2" t="n">
        <v>28</v>
      </c>
      <c r="F133" s="2" t="inlineStr">
        <is>
          <t>Savings</t>
        </is>
      </c>
      <c r="G133" s="2" t="inlineStr">
        <is>
          <t>groceries</t>
        </is>
      </c>
      <c r="H133" s="2" t="inlineStr">
        <is>
          <t>$2441.87</t>
        </is>
      </c>
      <c r="I133" s="2" t="n">
        <v>24884.92</v>
      </c>
      <c r="J133" s="2" t="inlineStr">
        <is>
          <t xml:space="preserve">Mobile App </t>
        </is>
      </c>
      <c r="K133" s="2" t="inlineStr">
        <is>
          <t>N</t>
        </is>
      </c>
    </row>
    <row r="134">
      <c r="A134" s="2" t="inlineStr">
        <is>
          <t>TXN100134</t>
        </is>
      </c>
      <c r="B134" s="2" t="inlineStr">
        <is>
          <t xml:space="preserve">  CUST0134 </t>
        </is>
      </c>
      <c r="C134" s="2" t="inlineStr">
        <is>
          <t>2026-06-01 07:56:00</t>
        </is>
      </c>
      <c r="D134" s="2" t="inlineStr">
        <is>
          <t>Male</t>
        </is>
      </c>
      <c r="E134" s="2" t="n">
        <v>44</v>
      </c>
      <c r="F134" s="2" t="inlineStr">
        <is>
          <t>Checking</t>
        </is>
      </c>
      <c r="G134" s="2" t="inlineStr">
        <is>
          <t>Entertainment</t>
        </is>
      </c>
      <c r="H134" s="2" t="inlineStr">
        <is>
          <t>$5367.18</t>
        </is>
      </c>
      <c r="I134" s="2" t="n">
        <v>37285.44</v>
      </c>
      <c r="J134" s="2" t="inlineStr">
        <is>
          <t>ATM</t>
        </is>
      </c>
      <c r="K134" s="2" t="inlineStr">
        <is>
          <t>N</t>
        </is>
      </c>
    </row>
    <row r="135">
      <c r="A135" s="2" t="inlineStr">
        <is>
          <t>TXN100135</t>
        </is>
      </c>
      <c r="B135" s="2" t="inlineStr">
        <is>
          <t xml:space="preserve">  CUST0135 </t>
        </is>
      </c>
      <c r="C135" s="2" t="inlineStr">
        <is>
          <t>2026-06-01 18:47:00</t>
        </is>
      </c>
      <c r="D135" s="2" t="inlineStr">
        <is>
          <t>Male</t>
        </is>
      </c>
      <c r="E135" s="2" t="n">
        <v>46</v>
      </c>
      <c r="F135" s="2" t="inlineStr">
        <is>
          <t>Investment</t>
        </is>
      </c>
      <c r="G135" s="2" t="inlineStr">
        <is>
          <t>groceries</t>
        </is>
      </c>
      <c r="H135" s="2" t="inlineStr">
        <is>
          <t>$6671.21</t>
        </is>
      </c>
      <c r="I135" s="2" t="n">
        <v>30974.78</v>
      </c>
      <c r="J135" s="2" t="inlineStr">
        <is>
          <t>Branch Office</t>
        </is>
      </c>
      <c r="K135" s="2" t="inlineStr">
        <is>
          <t>N</t>
        </is>
      </c>
    </row>
    <row r="136">
      <c r="A136" s="2" t="inlineStr">
        <is>
          <t>TXN100136</t>
        </is>
      </c>
      <c r="B136" s="2" t="inlineStr">
        <is>
          <t xml:space="preserve">  CUST0136 </t>
        </is>
      </c>
      <c r="C136" s="2" t="inlineStr">
        <is>
          <t>2026-06-01 01:44:00</t>
        </is>
      </c>
      <c r="D136" s="2" t="inlineStr">
        <is>
          <t>Female</t>
        </is>
      </c>
      <c r="E136" s="2" t="n">
        <v>33</v>
      </c>
      <c r="F136" s="2" t="inlineStr">
        <is>
          <t>Checking</t>
        </is>
      </c>
      <c r="G136" s="2" t="inlineStr">
        <is>
          <t>Utilities</t>
        </is>
      </c>
      <c r="H136" s="2" t="inlineStr">
        <is>
          <t>$7604.94</t>
        </is>
      </c>
      <c r="I136" s="2" t="n">
        <v>42844.78</v>
      </c>
      <c r="J136" s="2" t="inlineStr">
        <is>
          <t xml:space="preserve">Mobile App </t>
        </is>
      </c>
      <c r="K136" s="2" t="inlineStr">
        <is>
          <t>Y</t>
        </is>
      </c>
    </row>
    <row r="137">
      <c r="A137" s="2" t="inlineStr">
        <is>
          <t>TXN100137</t>
        </is>
      </c>
      <c r="B137" s="2" t="inlineStr">
        <is>
          <t xml:space="preserve">  CUST0137 </t>
        </is>
      </c>
      <c r="C137" s="2" t="inlineStr">
        <is>
          <t>2026-06-01 11:34:00</t>
        </is>
      </c>
      <c r="D137" s="2" t="inlineStr">
        <is>
          <t>Female</t>
        </is>
      </c>
      <c r="E137" s="2" t="n">
        <v>23</v>
      </c>
      <c r="F137" s="2" t="inlineStr">
        <is>
          <t>Checking</t>
        </is>
      </c>
      <c r="G137" s="2" t="inlineStr">
        <is>
          <t>Entertainment</t>
        </is>
      </c>
      <c r="H137" s="2" t="inlineStr">
        <is>
          <t>$1526.57</t>
        </is>
      </c>
      <c r="I137" s="2" t="n">
        <v>6546.91</v>
      </c>
      <c r="J137" s="2" t="inlineStr">
        <is>
          <t>ATM</t>
        </is>
      </c>
      <c r="K137" s="2" t="inlineStr">
        <is>
          <t>N</t>
        </is>
      </c>
    </row>
    <row r="138">
      <c r="A138" s="2" t="inlineStr">
        <is>
          <t>TXN100138</t>
        </is>
      </c>
      <c r="B138" s="2" t="inlineStr">
        <is>
          <t xml:space="preserve">  CUST0138 </t>
        </is>
      </c>
      <c r="C138" s="2" t="inlineStr">
        <is>
          <t>2026-06-01 02:42:00</t>
        </is>
      </c>
      <c r="D138" s="2" t="inlineStr">
        <is>
          <t>F</t>
        </is>
      </c>
      <c r="E138" s="2" t="n">
        <v>61</v>
      </c>
      <c r="F138" s="2" t="inlineStr">
        <is>
          <t>Investment</t>
        </is>
      </c>
      <c r="G138" s="2" t="inlineStr">
        <is>
          <t>Travel</t>
        </is>
      </c>
      <c r="H138" s="2" t="inlineStr">
        <is>
          <t>$7769.04</t>
        </is>
      </c>
      <c r="I138" s="2" t="n">
        <v>3003.64</v>
      </c>
      <c r="J138" s="2" t="inlineStr">
        <is>
          <t>Branch Office</t>
        </is>
      </c>
      <c r="K138" s="2" t="inlineStr">
        <is>
          <t>N</t>
        </is>
      </c>
    </row>
    <row r="139">
      <c r="A139" s="2" t="inlineStr">
        <is>
          <t>TXN100139</t>
        </is>
      </c>
      <c r="B139" s="2" t="inlineStr">
        <is>
          <t xml:space="preserve">  CUST0139 </t>
        </is>
      </c>
      <c r="C139" s="2" t="inlineStr">
        <is>
          <t>2026-06-01 04:50:00</t>
        </is>
      </c>
      <c r="D139" s="2" t="inlineStr">
        <is>
          <t>F</t>
        </is>
      </c>
      <c r="E139" s="2" t="n">
        <v>24</v>
      </c>
      <c r="F139" s="2" t="inlineStr">
        <is>
          <t>Investment</t>
        </is>
      </c>
      <c r="G139" s="2" t="inlineStr">
        <is>
          <t>GROCERIES</t>
        </is>
      </c>
      <c r="H139" s="2" t="inlineStr">
        <is>
          <t>$4695.2</t>
        </is>
      </c>
      <c r="I139" s="2" t="n">
        <v>40746.12</v>
      </c>
      <c r="J139" s="2" t="inlineStr">
        <is>
          <t>Online Banking</t>
        </is>
      </c>
      <c r="K139" s="2" t="inlineStr">
        <is>
          <t>N</t>
        </is>
      </c>
    </row>
    <row r="140">
      <c r="A140" s="2" t="inlineStr">
        <is>
          <t>TXN100140</t>
        </is>
      </c>
      <c r="B140" s="2" t="inlineStr">
        <is>
          <t xml:space="preserve">  CUST0140 </t>
        </is>
      </c>
      <c r="C140" s="2" t="inlineStr">
        <is>
          <t>2026-06-01 10:49:00</t>
        </is>
      </c>
      <c r="D140" s="2" t="inlineStr">
        <is>
          <t>Male</t>
        </is>
      </c>
      <c r="E140" s="2" t="n">
        <v>70</v>
      </c>
      <c r="F140" s="2" t="inlineStr">
        <is>
          <t>Investment</t>
        </is>
      </c>
      <c r="G140" s="2" t="inlineStr">
        <is>
          <t>groceries</t>
        </is>
      </c>
      <c r="H140" s="2" t="inlineStr">
        <is>
          <t>$2225.43</t>
        </is>
      </c>
      <c r="I140" s="2" t="n">
        <v>49209.39</v>
      </c>
      <c r="J140" s="2" t="inlineStr">
        <is>
          <t>Online Banking</t>
        </is>
      </c>
      <c r="K140" s="2" t="inlineStr">
        <is>
          <t>N</t>
        </is>
      </c>
    </row>
    <row r="141">
      <c r="A141" s="2" t="inlineStr">
        <is>
          <t>TXN100141</t>
        </is>
      </c>
      <c r="B141" s="2" t="inlineStr">
        <is>
          <t xml:space="preserve">  CUST0141 </t>
        </is>
      </c>
      <c r="C141" s="2" t="inlineStr">
        <is>
          <t>2026-06-01 17:16:00</t>
        </is>
      </c>
      <c r="D141" s="2" t="inlineStr">
        <is>
          <t>Male</t>
        </is>
      </c>
      <c r="E141" s="2" t="n">
        <v>27</v>
      </c>
      <c r="F141" s="2" t="inlineStr">
        <is>
          <t>Investment</t>
        </is>
      </c>
      <c r="G141" s="2" t="inlineStr">
        <is>
          <t>groceries</t>
        </is>
      </c>
      <c r="H141" s="2" t="inlineStr">
        <is>
          <t>$1063.11</t>
        </is>
      </c>
      <c r="I141" s="2" t="n">
        <v>18232.99</v>
      </c>
      <c r="J141" s="2" t="inlineStr">
        <is>
          <t>Online Banking</t>
        </is>
      </c>
      <c r="K141" s="2" t="inlineStr">
        <is>
          <t>N</t>
        </is>
      </c>
    </row>
    <row r="142">
      <c r="A142" s="2" t="inlineStr">
        <is>
          <t>TXN100142</t>
        </is>
      </c>
      <c r="B142" s="2" t="inlineStr">
        <is>
          <t xml:space="preserve">  CUST0142 </t>
        </is>
      </c>
      <c r="C142" s="2" t="inlineStr">
        <is>
          <t>2026-06-01 18:20:00</t>
        </is>
      </c>
      <c r="D142" s="2" t="inlineStr">
        <is>
          <t>M</t>
        </is>
      </c>
      <c r="E142" s="2" t="n">
        <v>31</v>
      </c>
      <c r="F142" s="2" t="inlineStr">
        <is>
          <t>Checking</t>
        </is>
      </c>
      <c r="G142" s="2" t="inlineStr">
        <is>
          <t>groceries</t>
        </is>
      </c>
      <c r="H142" s="2" t="inlineStr">
        <is>
          <t>$1022.8</t>
        </is>
      </c>
      <c r="I142" s="2" t="n">
        <v>21337.55</v>
      </c>
      <c r="J142" s="2" t="inlineStr">
        <is>
          <t xml:space="preserve">Mobile App </t>
        </is>
      </c>
      <c r="K142" s="2" t="inlineStr">
        <is>
          <t>N</t>
        </is>
      </c>
    </row>
    <row r="143">
      <c r="A143" s="2" t="inlineStr">
        <is>
          <t>TXN100143</t>
        </is>
      </c>
      <c r="B143" s="2" t="inlineStr">
        <is>
          <t xml:space="preserve">  CUST0143 </t>
        </is>
      </c>
      <c r="C143" s="2" t="inlineStr">
        <is>
          <t>2026-06-01 23:04:00</t>
        </is>
      </c>
      <c r="D143" s="2" t="n"/>
      <c r="E143" s="2" t="n">
        <v>48</v>
      </c>
      <c r="F143" s="2" t="inlineStr">
        <is>
          <t>Checking</t>
        </is>
      </c>
      <c r="G143" s="2" t="inlineStr">
        <is>
          <t>Travel</t>
        </is>
      </c>
      <c r="H143" s="2" t="inlineStr">
        <is>
          <t>$4753.39</t>
        </is>
      </c>
      <c r="I143" s="2" t="n">
        <v>22874.27</v>
      </c>
      <c r="J143" s="2" t="inlineStr">
        <is>
          <t>Online Banking</t>
        </is>
      </c>
      <c r="K143" s="2" t="inlineStr">
        <is>
          <t>N</t>
        </is>
      </c>
    </row>
    <row r="144">
      <c r="A144" s="2" t="inlineStr">
        <is>
          <t>TXN100144</t>
        </is>
      </c>
      <c r="B144" s="2" t="inlineStr">
        <is>
          <t xml:space="preserve">  CUST0144 </t>
        </is>
      </c>
      <c r="C144" s="2" t="inlineStr">
        <is>
          <t>2026-06-01 19:02:00</t>
        </is>
      </c>
      <c r="D144" s="2" t="inlineStr">
        <is>
          <t>female</t>
        </is>
      </c>
      <c r="E144" s="2" t="n">
        <v>49</v>
      </c>
      <c r="F144" s="2" t="inlineStr">
        <is>
          <t>Investment</t>
        </is>
      </c>
      <c r="G144" s="2" t="inlineStr">
        <is>
          <t>groceries</t>
        </is>
      </c>
      <c r="H144" s="2" t="inlineStr">
        <is>
          <t>$496.0</t>
        </is>
      </c>
      <c r="I144" s="2" t="n">
        <v>24209.6</v>
      </c>
      <c r="J144" s="2" t="inlineStr">
        <is>
          <t>ATM</t>
        </is>
      </c>
      <c r="K144" s="2" t="inlineStr">
        <is>
          <t>N</t>
        </is>
      </c>
    </row>
    <row r="145">
      <c r="A145" s="2" t="inlineStr">
        <is>
          <t>TXN100145</t>
        </is>
      </c>
      <c r="B145" s="2" t="inlineStr">
        <is>
          <t xml:space="preserve">  CUST0145 </t>
        </is>
      </c>
      <c r="C145" s="2" t="inlineStr">
        <is>
          <t>2026-06-01 13:43:00</t>
        </is>
      </c>
      <c r="D145" s="2" t="inlineStr">
        <is>
          <t>MALE</t>
        </is>
      </c>
      <c r="E145" s="2" t="n">
        <v>51</v>
      </c>
      <c r="F145" s="2" t="inlineStr">
        <is>
          <t>Investment</t>
        </is>
      </c>
      <c r="G145" s="2" t="inlineStr">
        <is>
          <t>Utilities</t>
        </is>
      </c>
      <c r="H145" s="2" t="inlineStr">
        <is>
          <t>$597.19</t>
        </is>
      </c>
      <c r="I145" s="2" t="n">
        <v>4499.13</v>
      </c>
      <c r="J145" s="2" t="inlineStr">
        <is>
          <t>Online Banking</t>
        </is>
      </c>
      <c r="K145" s="2" t="inlineStr">
        <is>
          <t>N</t>
        </is>
      </c>
    </row>
    <row r="146">
      <c r="A146" s="2" t="inlineStr">
        <is>
          <t>TXN100146</t>
        </is>
      </c>
      <c r="B146" s="2" t="inlineStr">
        <is>
          <t xml:space="preserve">  CUST0146 </t>
        </is>
      </c>
      <c r="C146" s="2" t="inlineStr">
        <is>
          <t>2026-06-01 02:08:00</t>
        </is>
      </c>
      <c r="D146" s="2" t="inlineStr">
        <is>
          <t>female</t>
        </is>
      </c>
      <c r="E146" s="2" t="n">
        <v>59</v>
      </c>
      <c r="F146" s="2" t="inlineStr">
        <is>
          <t>Investment</t>
        </is>
      </c>
      <c r="G146" s="2" t="inlineStr">
        <is>
          <t>Travel</t>
        </is>
      </c>
      <c r="H146" s="2" t="inlineStr">
        <is>
          <t>$4391.37</t>
        </is>
      </c>
      <c r="I146" s="2" t="n">
        <v>16596.68</v>
      </c>
      <c r="J146" s="2" t="inlineStr">
        <is>
          <t>Branch Office</t>
        </is>
      </c>
      <c r="K146" s="2" t="inlineStr">
        <is>
          <t>N</t>
        </is>
      </c>
    </row>
    <row r="147">
      <c r="A147" s="2" t="inlineStr">
        <is>
          <t>TXN100147</t>
        </is>
      </c>
      <c r="B147" s="2" t="inlineStr">
        <is>
          <t xml:space="preserve">  CUST0147 </t>
        </is>
      </c>
      <c r="C147" s="2" t="inlineStr">
        <is>
          <t>2026-06-01 14:32:00</t>
        </is>
      </c>
      <c r="D147" s="3" t="inlineStr"/>
      <c r="E147" s="2" t="n">
        <v>26</v>
      </c>
      <c r="F147" s="2" t="inlineStr">
        <is>
          <t>Investment</t>
        </is>
      </c>
      <c r="G147" s="2" t="inlineStr">
        <is>
          <t>groceries</t>
        </is>
      </c>
      <c r="H147" s="2" t="inlineStr">
        <is>
          <t>$6823.81</t>
        </is>
      </c>
      <c r="I147" s="2" t="n">
        <v>32720.37</v>
      </c>
      <c r="J147" s="2" t="inlineStr">
        <is>
          <t>Online Banking</t>
        </is>
      </c>
      <c r="K147" s="2" t="inlineStr">
        <is>
          <t>N</t>
        </is>
      </c>
    </row>
    <row r="148">
      <c r="A148" s="2" t="inlineStr">
        <is>
          <t>TXN100148</t>
        </is>
      </c>
      <c r="B148" s="2" t="inlineStr">
        <is>
          <t xml:space="preserve">  CUST0148 </t>
        </is>
      </c>
      <c r="C148" s="2" t="inlineStr">
        <is>
          <t>2026-06-01 13:28:00</t>
        </is>
      </c>
      <c r="D148" s="2" t="inlineStr">
        <is>
          <t>F</t>
        </is>
      </c>
      <c r="E148" s="2" t="n">
        <v>46</v>
      </c>
      <c r="F148" s="2" t="inlineStr">
        <is>
          <t>Checking</t>
        </is>
      </c>
      <c r="G148" s="2" t="inlineStr">
        <is>
          <t>Utilities</t>
        </is>
      </c>
      <c r="H148" s="2" t="inlineStr">
        <is>
          <t>$3195.85</t>
        </is>
      </c>
      <c r="I148" s="2" t="n">
        <v>36615.82</v>
      </c>
      <c r="J148" s="2" t="inlineStr">
        <is>
          <t>Branch Office</t>
        </is>
      </c>
      <c r="K148" s="2" t="inlineStr">
        <is>
          <t>N</t>
        </is>
      </c>
    </row>
    <row r="149">
      <c r="A149" s="2" t="inlineStr">
        <is>
          <t>TXN100149</t>
        </is>
      </c>
      <c r="B149" s="2" t="inlineStr">
        <is>
          <t xml:space="preserve">  CUST0149 </t>
        </is>
      </c>
      <c r="C149" s="2" t="inlineStr">
        <is>
          <t>2026-06-01 13:20:00</t>
        </is>
      </c>
      <c r="D149" s="2" t="inlineStr">
        <is>
          <t>female</t>
        </is>
      </c>
      <c r="E149" s="2" t="n">
        <v>43</v>
      </c>
      <c r="F149" s="2" t="inlineStr">
        <is>
          <t>Savings</t>
        </is>
      </c>
      <c r="G149" s="2" t="inlineStr">
        <is>
          <t>Utilities</t>
        </is>
      </c>
      <c r="H149" s="2" t="inlineStr">
        <is>
          <t>$546.4</t>
        </is>
      </c>
      <c r="I149" s="2" t="n">
        <v>41672.71</v>
      </c>
      <c r="J149" s="2" t="inlineStr">
        <is>
          <t xml:space="preserve">Mobile App </t>
        </is>
      </c>
      <c r="K149" s="2" t="inlineStr">
        <is>
          <t>N</t>
        </is>
      </c>
    </row>
    <row r="150">
      <c r="A150" s="2" t="inlineStr">
        <is>
          <t>TXN100150</t>
        </is>
      </c>
      <c r="B150" s="2" t="inlineStr">
        <is>
          <t xml:space="preserve">  CUST0150 </t>
        </is>
      </c>
      <c r="C150" s="2" t="inlineStr">
        <is>
          <t>2026-06-01 13:06:00</t>
        </is>
      </c>
      <c r="D150" s="2" t="inlineStr">
        <is>
          <t>Female</t>
        </is>
      </c>
      <c r="E150" s="2" t="n">
        <v>71</v>
      </c>
      <c r="F150" s="2" t="inlineStr">
        <is>
          <t>Savings</t>
        </is>
      </c>
      <c r="G150" s="2" t="inlineStr">
        <is>
          <t>Travel</t>
        </is>
      </c>
      <c r="H150" s="2" t="inlineStr">
        <is>
          <t>$489.25</t>
        </is>
      </c>
      <c r="I150" s="2" t="n">
        <v>47852.92</v>
      </c>
      <c r="J150" s="2" t="inlineStr">
        <is>
          <t>Branch Office</t>
        </is>
      </c>
      <c r="K150" s="2" t="inlineStr">
        <is>
          <t>N</t>
        </is>
      </c>
    </row>
    <row r="151">
      <c r="A151" s="2" t="inlineStr">
        <is>
          <t>TXN100151</t>
        </is>
      </c>
      <c r="B151" s="2" t="inlineStr">
        <is>
          <t xml:space="preserve">  CUST0151 </t>
        </is>
      </c>
      <c r="C151" s="2" t="inlineStr">
        <is>
          <t>2026-06-01 21:07:00</t>
        </is>
      </c>
      <c r="D151" s="3" t="inlineStr"/>
      <c r="E151" s="2" t="n">
        <v>42</v>
      </c>
      <c r="F151" s="2" t="inlineStr">
        <is>
          <t>Investment</t>
        </is>
      </c>
      <c r="G151" s="2" t="inlineStr">
        <is>
          <t>Utilities</t>
        </is>
      </c>
      <c r="H151" s="3" t="inlineStr"/>
      <c r="I151" s="2" t="n">
        <v>36192.5</v>
      </c>
      <c r="J151" s="2" t="inlineStr">
        <is>
          <t>Branch Office</t>
        </is>
      </c>
      <c r="K151" s="2" t="inlineStr">
        <is>
          <t>N</t>
        </is>
      </c>
    </row>
    <row r="152">
      <c r="A152" s="2" t="inlineStr">
        <is>
          <t>TXN100152</t>
        </is>
      </c>
      <c r="B152" s="2" t="inlineStr">
        <is>
          <t xml:space="preserve">  CUST0152 </t>
        </is>
      </c>
      <c r="C152" s="2" t="inlineStr">
        <is>
          <t>2026-06-01 19:19:00</t>
        </is>
      </c>
      <c r="D152" s="2" t="inlineStr">
        <is>
          <t>Female</t>
        </is>
      </c>
      <c r="E152" s="2" t="n">
        <v>26</v>
      </c>
      <c r="F152" s="2" t="inlineStr">
        <is>
          <t>Investment</t>
        </is>
      </c>
      <c r="G152" s="2" t="inlineStr">
        <is>
          <t>Travel</t>
        </is>
      </c>
      <c r="H152" s="2" t="inlineStr">
        <is>
          <t>$1709.78</t>
        </is>
      </c>
      <c r="I152" s="2" t="n">
        <v>33008.45</v>
      </c>
      <c r="J152" s="2" t="inlineStr">
        <is>
          <t>Online Banking</t>
        </is>
      </c>
      <c r="K152" s="2" t="inlineStr">
        <is>
          <t>N</t>
        </is>
      </c>
    </row>
    <row r="153">
      <c r="A153" s="2" t="inlineStr">
        <is>
          <t>TXN100153</t>
        </is>
      </c>
      <c r="B153" s="2" t="inlineStr">
        <is>
          <t xml:space="preserve">  CUST0153 </t>
        </is>
      </c>
      <c r="C153" s="2" t="inlineStr">
        <is>
          <t>2026-06-01 03:22:00</t>
        </is>
      </c>
      <c r="D153" s="2" t="inlineStr">
        <is>
          <t>Female</t>
        </is>
      </c>
      <c r="E153" s="2" t="n">
        <v>27</v>
      </c>
      <c r="F153" s="2" t="inlineStr">
        <is>
          <t>Checking</t>
        </is>
      </c>
      <c r="G153" s="2" t="inlineStr">
        <is>
          <t>Travel</t>
        </is>
      </c>
      <c r="H153" s="2" t="inlineStr">
        <is>
          <t>$1817.01</t>
        </is>
      </c>
      <c r="I153" s="2" t="n">
        <v>21741.06</v>
      </c>
      <c r="J153" s="2" t="inlineStr">
        <is>
          <t xml:space="preserve">Mobile App </t>
        </is>
      </c>
      <c r="K153" s="2" t="inlineStr">
        <is>
          <t>N</t>
        </is>
      </c>
    </row>
    <row r="154">
      <c r="A154" s="2" t="inlineStr">
        <is>
          <t>TXN100154</t>
        </is>
      </c>
      <c r="B154" s="2" t="inlineStr">
        <is>
          <t xml:space="preserve">  CUST0154 </t>
        </is>
      </c>
      <c r="C154" s="2" t="inlineStr">
        <is>
          <t>2026-06-01 19:59:00</t>
        </is>
      </c>
      <c r="D154" s="2" t="inlineStr">
        <is>
          <t>female</t>
        </is>
      </c>
      <c r="E154" s="2" t="n">
        <v>21</v>
      </c>
      <c r="F154" s="2" t="inlineStr">
        <is>
          <t>Savings</t>
        </is>
      </c>
      <c r="G154" s="2" t="inlineStr">
        <is>
          <t>Entertainment</t>
        </is>
      </c>
      <c r="H154" s="2" t="inlineStr">
        <is>
          <t>$5624.56</t>
        </is>
      </c>
      <c r="I154" s="2" t="n">
        <v>15794.74</v>
      </c>
      <c r="J154" s="2" t="inlineStr">
        <is>
          <t>Branch Office</t>
        </is>
      </c>
      <c r="K154" s="2" t="inlineStr">
        <is>
          <t>N</t>
        </is>
      </c>
    </row>
    <row r="155">
      <c r="A155" s="2" t="inlineStr">
        <is>
          <t>TXN100155</t>
        </is>
      </c>
      <c r="B155" s="2" t="inlineStr">
        <is>
          <t xml:space="preserve">  CUST0155 </t>
        </is>
      </c>
      <c r="C155" s="2" t="inlineStr">
        <is>
          <t>2026-06-01 11:00:00</t>
        </is>
      </c>
      <c r="D155" s="2" t="inlineStr">
        <is>
          <t>Male</t>
        </is>
      </c>
      <c r="E155" s="2" t="n">
        <v>75</v>
      </c>
      <c r="F155" s="2" t="inlineStr">
        <is>
          <t>Savings</t>
        </is>
      </c>
      <c r="G155" s="2" t="inlineStr">
        <is>
          <t>Travel</t>
        </is>
      </c>
      <c r="H155" s="2" t="inlineStr">
        <is>
          <t>$5262.18</t>
        </is>
      </c>
      <c r="I155" s="2" t="n">
        <v>3944.48</v>
      </c>
      <c r="J155" s="2" t="inlineStr">
        <is>
          <t xml:space="preserve">Mobile App </t>
        </is>
      </c>
      <c r="K155" s="2" t="inlineStr">
        <is>
          <t>N</t>
        </is>
      </c>
    </row>
    <row r="156">
      <c r="A156" s="2" t="inlineStr">
        <is>
          <t>TXN100156</t>
        </is>
      </c>
      <c r="B156" s="2" t="inlineStr">
        <is>
          <t xml:space="preserve">  CUST0156 </t>
        </is>
      </c>
      <c r="C156" s="2" t="inlineStr">
        <is>
          <t>2026-06-01 02:47:00</t>
        </is>
      </c>
      <c r="D156" s="2" t="inlineStr">
        <is>
          <t>F</t>
        </is>
      </c>
      <c r="E156" s="2" t="n">
        <v>44</v>
      </c>
      <c r="F156" s="2" t="inlineStr">
        <is>
          <t>Checking</t>
        </is>
      </c>
      <c r="G156" s="2" t="inlineStr">
        <is>
          <t>Utilities</t>
        </is>
      </c>
      <c r="H156" s="2" t="inlineStr">
        <is>
          <t>$2733.76</t>
        </is>
      </c>
      <c r="I156" s="2" t="n">
        <v>18817.63</v>
      </c>
      <c r="J156" s="2" t="inlineStr">
        <is>
          <t>Branch Office</t>
        </is>
      </c>
      <c r="K156" s="2" t="inlineStr">
        <is>
          <t>N</t>
        </is>
      </c>
    </row>
    <row r="157">
      <c r="A157" s="2" t="inlineStr">
        <is>
          <t>TXN100157</t>
        </is>
      </c>
      <c r="B157" s="2" t="inlineStr">
        <is>
          <t xml:space="preserve">  CUST0157 </t>
        </is>
      </c>
      <c r="C157" s="2" t="inlineStr">
        <is>
          <t>2026-06-01 18:38:00</t>
        </is>
      </c>
      <c r="D157" s="2" t="inlineStr">
        <is>
          <t>MALE</t>
        </is>
      </c>
      <c r="E157" s="2" t="n">
        <v>23</v>
      </c>
      <c r="F157" s="2" t="inlineStr">
        <is>
          <t>Savings</t>
        </is>
      </c>
      <c r="G157" s="2" t="inlineStr">
        <is>
          <t>GROCERIES</t>
        </is>
      </c>
      <c r="H157" s="2" t="inlineStr">
        <is>
          <t>$6037.94</t>
        </is>
      </c>
      <c r="I157" s="2" t="n">
        <v>2963.24</v>
      </c>
      <c r="J157" s="2" t="inlineStr">
        <is>
          <t xml:space="preserve">Mobile App </t>
        </is>
      </c>
      <c r="K157" s="2" t="inlineStr">
        <is>
          <t>N</t>
        </is>
      </c>
    </row>
    <row r="158">
      <c r="A158" s="2" t="inlineStr">
        <is>
          <t>TXN100158</t>
        </is>
      </c>
      <c r="B158" s="2" t="inlineStr">
        <is>
          <t xml:space="preserve">  CUST0158 </t>
        </is>
      </c>
      <c r="C158" s="2" t="inlineStr">
        <is>
          <t>2026-06-01 08:28:00</t>
        </is>
      </c>
      <c r="D158" s="3" t="inlineStr"/>
      <c r="E158" s="2" t="n">
        <v>51</v>
      </c>
      <c r="F158" s="2" t="inlineStr">
        <is>
          <t>Investment</t>
        </is>
      </c>
      <c r="G158" s="2" t="inlineStr">
        <is>
          <t>Utilities</t>
        </is>
      </c>
      <c r="H158" s="2" t="inlineStr">
        <is>
          <t>$3319.33</t>
        </is>
      </c>
      <c r="I158" s="2" t="n">
        <v>11170.66</v>
      </c>
      <c r="J158" s="2" t="inlineStr">
        <is>
          <t xml:space="preserve">Mobile App </t>
        </is>
      </c>
      <c r="K158" s="2" t="inlineStr">
        <is>
          <t>N</t>
        </is>
      </c>
    </row>
    <row r="159">
      <c r="A159" s="2" t="inlineStr">
        <is>
          <t>TXN100159</t>
        </is>
      </c>
      <c r="B159" s="2" t="inlineStr">
        <is>
          <t xml:space="preserve">  CUST0159 </t>
        </is>
      </c>
      <c r="C159" s="2" t="inlineStr">
        <is>
          <t>2026-06-01 11:27:00</t>
        </is>
      </c>
      <c r="D159" s="2" t="inlineStr">
        <is>
          <t>MALE</t>
        </is>
      </c>
      <c r="E159" s="2" t="n">
        <v>38</v>
      </c>
      <c r="F159" s="2" t="inlineStr">
        <is>
          <t>Investment</t>
        </is>
      </c>
      <c r="G159" s="2" t="inlineStr">
        <is>
          <t>Travel</t>
        </is>
      </c>
      <c r="H159" s="2" t="inlineStr">
        <is>
          <t>$3898.2</t>
        </is>
      </c>
      <c r="I159" s="2" t="n">
        <v>33523.06</v>
      </c>
      <c r="J159" s="2" t="inlineStr">
        <is>
          <t xml:space="preserve">Mobile App </t>
        </is>
      </c>
      <c r="K159" s="2" t="inlineStr">
        <is>
          <t>N</t>
        </is>
      </c>
    </row>
    <row r="160">
      <c r="A160" s="2" t="inlineStr">
        <is>
          <t>TXN100160</t>
        </is>
      </c>
      <c r="B160" s="2" t="inlineStr">
        <is>
          <t xml:space="preserve">  CUST0160 </t>
        </is>
      </c>
      <c r="C160" s="2" t="inlineStr">
        <is>
          <t>2026-06-01 07:25:00</t>
        </is>
      </c>
      <c r="D160" s="2" t="inlineStr">
        <is>
          <t>M</t>
        </is>
      </c>
      <c r="E160" s="2" t="n">
        <v>20</v>
      </c>
      <c r="F160" s="2" t="inlineStr">
        <is>
          <t>Savings</t>
        </is>
      </c>
      <c r="G160" s="2" t="inlineStr">
        <is>
          <t>Entertainment</t>
        </is>
      </c>
      <c r="H160" s="2" t="inlineStr">
        <is>
          <t>$7563.14</t>
        </is>
      </c>
      <c r="I160" s="2" t="n">
        <v>38483.8</v>
      </c>
      <c r="J160" s="2" t="inlineStr">
        <is>
          <t>Branch Office</t>
        </is>
      </c>
      <c r="K160" s="2" t="inlineStr">
        <is>
          <t>N</t>
        </is>
      </c>
    </row>
    <row r="161">
      <c r="A161" s="2" t="inlineStr">
        <is>
          <t>TXN100161</t>
        </is>
      </c>
      <c r="B161" s="2" t="inlineStr">
        <is>
          <t xml:space="preserve">  CUST0161 </t>
        </is>
      </c>
      <c r="C161" s="2" t="inlineStr">
        <is>
          <t>2026-06-01 03:00:00</t>
        </is>
      </c>
      <c r="D161" s="2" t="n"/>
      <c r="E161" s="2" t="n">
        <v>67</v>
      </c>
      <c r="F161" s="2" t="inlineStr">
        <is>
          <t>Checking</t>
        </is>
      </c>
      <c r="G161" s="2" t="inlineStr">
        <is>
          <t>GROCERIES</t>
        </is>
      </c>
      <c r="H161" s="2" t="inlineStr">
        <is>
          <t>$1042.19</t>
        </is>
      </c>
      <c r="I161" s="2" t="n">
        <v>26862.83</v>
      </c>
      <c r="J161" s="2" t="inlineStr">
        <is>
          <t>Online Banking</t>
        </is>
      </c>
      <c r="K161" s="2" t="inlineStr">
        <is>
          <t>N</t>
        </is>
      </c>
    </row>
    <row r="162">
      <c r="A162" s="2" t="inlineStr">
        <is>
          <t>TXN100162</t>
        </is>
      </c>
      <c r="B162" s="2" t="inlineStr">
        <is>
          <t xml:space="preserve">  CUST0162 </t>
        </is>
      </c>
      <c r="C162" s="2" t="inlineStr">
        <is>
          <t>2026-06-01 16:35:00</t>
        </is>
      </c>
      <c r="D162" s="2" t="inlineStr">
        <is>
          <t>Female</t>
        </is>
      </c>
      <c r="E162" s="2" t="n">
        <v>24</v>
      </c>
      <c r="F162" s="2" t="inlineStr">
        <is>
          <t>Checking</t>
        </is>
      </c>
      <c r="G162" s="2" t="inlineStr">
        <is>
          <t>groceries</t>
        </is>
      </c>
      <c r="H162" s="2" t="inlineStr">
        <is>
          <t>$3495.39</t>
        </is>
      </c>
      <c r="I162" s="2" t="n">
        <v>23257.84</v>
      </c>
      <c r="J162" s="2" t="inlineStr">
        <is>
          <t xml:space="preserve">Mobile App </t>
        </is>
      </c>
      <c r="K162" s="2" t="inlineStr">
        <is>
          <t>N</t>
        </is>
      </c>
    </row>
    <row r="163">
      <c r="A163" s="2" t="inlineStr">
        <is>
          <t>TXN100163</t>
        </is>
      </c>
      <c r="B163" s="2" t="inlineStr">
        <is>
          <t xml:space="preserve">  CUST0163 </t>
        </is>
      </c>
      <c r="C163" s="2" t="inlineStr">
        <is>
          <t>2026-06-01 10:36:00</t>
        </is>
      </c>
      <c r="D163" s="3" t="inlineStr"/>
      <c r="E163" s="2" t="n">
        <v>56</v>
      </c>
      <c r="F163" s="2" t="inlineStr">
        <is>
          <t>Checking</t>
        </is>
      </c>
      <c r="G163" s="2" t="inlineStr">
        <is>
          <t>Utilities</t>
        </is>
      </c>
      <c r="H163" s="2" t="inlineStr">
        <is>
          <t>$2323.23</t>
        </is>
      </c>
      <c r="I163" s="2" t="n">
        <v>20549.1</v>
      </c>
      <c r="J163" s="2" t="inlineStr">
        <is>
          <t>Branch Office</t>
        </is>
      </c>
      <c r="K163" s="2" t="inlineStr">
        <is>
          <t>N</t>
        </is>
      </c>
    </row>
    <row r="164">
      <c r="A164" s="2" t="inlineStr">
        <is>
          <t>TXN100164</t>
        </is>
      </c>
      <c r="B164" s="2" t="inlineStr">
        <is>
          <t xml:space="preserve">  CUST0164 </t>
        </is>
      </c>
      <c r="C164" s="2" t="inlineStr">
        <is>
          <t>2026-06-01 05:51:00</t>
        </is>
      </c>
      <c r="D164" s="2" t="n"/>
      <c r="E164" s="2" t="n">
        <v>73</v>
      </c>
      <c r="F164" s="2" t="inlineStr">
        <is>
          <t>Investment</t>
        </is>
      </c>
      <c r="G164" s="2" t="inlineStr">
        <is>
          <t>Entertainment</t>
        </is>
      </c>
      <c r="H164" s="2" t="inlineStr">
        <is>
          <t>$714.16</t>
        </is>
      </c>
      <c r="I164" s="2" t="n">
        <v>42301.98</v>
      </c>
      <c r="J164" s="2" t="inlineStr">
        <is>
          <t>Online Banking</t>
        </is>
      </c>
      <c r="K164" s="2" t="inlineStr">
        <is>
          <t>N</t>
        </is>
      </c>
    </row>
    <row r="165">
      <c r="A165" s="2" t="inlineStr">
        <is>
          <t>TXN100165</t>
        </is>
      </c>
      <c r="B165" s="2" t="inlineStr">
        <is>
          <t xml:space="preserve">  CUST0165 </t>
        </is>
      </c>
      <c r="C165" s="2" t="inlineStr">
        <is>
          <t>2026-06-01 13:37:00</t>
        </is>
      </c>
      <c r="D165" s="3" t="inlineStr"/>
      <c r="E165" s="2" t="n">
        <v>53</v>
      </c>
      <c r="F165" s="2" t="inlineStr">
        <is>
          <t>Savings</t>
        </is>
      </c>
      <c r="G165" s="2" t="inlineStr">
        <is>
          <t>Utilities</t>
        </is>
      </c>
      <c r="H165" s="2" t="inlineStr">
        <is>
          <t>$6965.49</t>
        </is>
      </c>
      <c r="I165" s="2" t="n">
        <v>37417.34</v>
      </c>
      <c r="J165" s="2" t="inlineStr">
        <is>
          <t>Online Banking</t>
        </is>
      </c>
      <c r="K165" s="2" t="inlineStr">
        <is>
          <t>N</t>
        </is>
      </c>
    </row>
    <row r="166">
      <c r="A166" s="2" t="inlineStr">
        <is>
          <t>TXN100166</t>
        </is>
      </c>
      <c r="B166" s="2" t="inlineStr">
        <is>
          <t xml:space="preserve">  CUST0166 </t>
        </is>
      </c>
      <c r="C166" s="2" t="inlineStr">
        <is>
          <t>2026-06-01 10:49:00</t>
        </is>
      </c>
      <c r="D166" s="2" t="inlineStr">
        <is>
          <t>Male</t>
        </is>
      </c>
      <c r="E166" s="2" t="n">
        <v>24</v>
      </c>
      <c r="F166" s="2" t="inlineStr">
        <is>
          <t>Investment</t>
        </is>
      </c>
      <c r="G166" s="2" t="inlineStr">
        <is>
          <t>groceries</t>
        </is>
      </c>
      <c r="H166" s="2" t="inlineStr">
        <is>
          <t>$4249.53</t>
        </is>
      </c>
      <c r="I166" s="2" t="n">
        <v>10098.23</v>
      </c>
      <c r="J166" s="2" t="inlineStr">
        <is>
          <t>Branch Office</t>
        </is>
      </c>
      <c r="K166" s="2" t="inlineStr">
        <is>
          <t>N</t>
        </is>
      </c>
    </row>
    <row r="167">
      <c r="A167" s="2" t="inlineStr">
        <is>
          <t>TXN100167</t>
        </is>
      </c>
      <c r="B167" s="2" t="inlineStr">
        <is>
          <t xml:space="preserve">  CUST0167 </t>
        </is>
      </c>
      <c r="C167" s="2" t="inlineStr">
        <is>
          <t>2026-06-01 11:46:00</t>
        </is>
      </c>
      <c r="D167" s="2" t="inlineStr">
        <is>
          <t>Male</t>
        </is>
      </c>
      <c r="E167" s="2" t="n">
        <v>35</v>
      </c>
      <c r="F167" s="2" t="inlineStr">
        <is>
          <t>Savings</t>
        </is>
      </c>
      <c r="G167" s="2" t="inlineStr">
        <is>
          <t>GROCERIES</t>
        </is>
      </c>
      <c r="H167" s="2" t="inlineStr">
        <is>
          <t>$2055.19</t>
        </is>
      </c>
      <c r="I167" s="2" t="n">
        <v>9088.200000000001</v>
      </c>
      <c r="J167" s="2" t="inlineStr">
        <is>
          <t>Online Banking</t>
        </is>
      </c>
      <c r="K167" s="2" t="inlineStr">
        <is>
          <t>N</t>
        </is>
      </c>
    </row>
    <row r="168">
      <c r="A168" s="2" t="inlineStr">
        <is>
          <t>TXN100168</t>
        </is>
      </c>
      <c r="B168" s="2" t="inlineStr">
        <is>
          <t xml:space="preserve">  CUST0168 </t>
        </is>
      </c>
      <c r="C168" s="2" t="inlineStr">
        <is>
          <t>2026-06-01 20:04:00</t>
        </is>
      </c>
      <c r="D168" s="2" t="inlineStr">
        <is>
          <t>Male</t>
        </is>
      </c>
      <c r="E168" s="2" t="n">
        <v>69</v>
      </c>
      <c r="F168" s="2" t="inlineStr">
        <is>
          <t>Investment</t>
        </is>
      </c>
      <c r="G168" s="2" t="inlineStr">
        <is>
          <t>Utilities</t>
        </is>
      </c>
      <c r="H168" s="2" t="inlineStr">
        <is>
          <t>$3716.99</t>
        </is>
      </c>
      <c r="I168" s="2" t="n">
        <v>28404.91</v>
      </c>
      <c r="J168" s="2" t="inlineStr">
        <is>
          <t>ATM</t>
        </is>
      </c>
      <c r="K168" s="2" t="inlineStr">
        <is>
          <t>N</t>
        </is>
      </c>
    </row>
    <row r="169">
      <c r="A169" s="2" t="inlineStr">
        <is>
          <t>TXN100169</t>
        </is>
      </c>
      <c r="B169" s="2" t="inlineStr">
        <is>
          <t xml:space="preserve">  CUST0169 </t>
        </is>
      </c>
      <c r="C169" s="2" t="inlineStr">
        <is>
          <t>2026-06-01 21:59:00</t>
        </is>
      </c>
      <c r="D169" s="2" t="inlineStr">
        <is>
          <t>Female</t>
        </is>
      </c>
      <c r="E169" s="2" t="n">
        <v>75</v>
      </c>
      <c r="F169" s="2" t="inlineStr">
        <is>
          <t>Investment</t>
        </is>
      </c>
      <c r="G169" s="2" t="inlineStr">
        <is>
          <t>Entertainment</t>
        </is>
      </c>
      <c r="H169" s="2" t="inlineStr">
        <is>
          <t>$1216.15</t>
        </is>
      </c>
      <c r="I169" s="2" t="n">
        <v>3880.17</v>
      </c>
      <c r="J169" s="2" t="inlineStr">
        <is>
          <t>ATM</t>
        </is>
      </c>
      <c r="K169" s="2" t="inlineStr">
        <is>
          <t>N</t>
        </is>
      </c>
    </row>
    <row r="170">
      <c r="A170" s="2" t="inlineStr">
        <is>
          <t>TXN100170</t>
        </is>
      </c>
      <c r="B170" s="2" t="inlineStr">
        <is>
          <t xml:space="preserve">  CUST0170 </t>
        </is>
      </c>
      <c r="C170" s="2" t="inlineStr">
        <is>
          <t>2026-06-01 20:19:00</t>
        </is>
      </c>
      <c r="D170" s="2" t="inlineStr">
        <is>
          <t>female</t>
        </is>
      </c>
      <c r="E170" s="2" t="n">
        <v>57</v>
      </c>
      <c r="F170" s="2" t="inlineStr">
        <is>
          <t>Savings</t>
        </is>
      </c>
      <c r="G170" s="2" t="inlineStr">
        <is>
          <t>Entertainment</t>
        </is>
      </c>
      <c r="H170" s="2" t="inlineStr">
        <is>
          <t>$4063.62</t>
        </is>
      </c>
      <c r="I170" s="2" t="n">
        <v>15865.19</v>
      </c>
      <c r="J170" s="2" t="inlineStr">
        <is>
          <t>ATM</t>
        </is>
      </c>
      <c r="K170" s="2" t="inlineStr">
        <is>
          <t>N</t>
        </is>
      </c>
    </row>
    <row r="171">
      <c r="A171" s="2" t="inlineStr">
        <is>
          <t>TXN100171</t>
        </is>
      </c>
      <c r="B171" s="2" t="inlineStr">
        <is>
          <t xml:space="preserve">  CUST0171 </t>
        </is>
      </c>
      <c r="C171" s="2" t="inlineStr">
        <is>
          <t>2026-06-01 01:03:00</t>
        </is>
      </c>
      <c r="D171" s="2" t="inlineStr">
        <is>
          <t>Female</t>
        </is>
      </c>
      <c r="E171" s="2" t="n">
        <v>73</v>
      </c>
      <c r="F171" s="2" t="inlineStr">
        <is>
          <t>Checking</t>
        </is>
      </c>
      <c r="G171" s="2" t="inlineStr">
        <is>
          <t>groceries</t>
        </is>
      </c>
      <c r="H171" s="2" t="inlineStr">
        <is>
          <t>$5160.89</t>
        </is>
      </c>
      <c r="I171" s="2" t="n">
        <v>48879.74</v>
      </c>
      <c r="J171" s="2" t="inlineStr">
        <is>
          <t xml:space="preserve">Mobile App </t>
        </is>
      </c>
      <c r="K171" s="2" t="inlineStr">
        <is>
          <t>N</t>
        </is>
      </c>
    </row>
    <row r="172">
      <c r="A172" s="2" t="inlineStr">
        <is>
          <t>TXN100172</t>
        </is>
      </c>
      <c r="B172" s="2" t="inlineStr">
        <is>
          <t xml:space="preserve">  CUST0172 </t>
        </is>
      </c>
      <c r="C172" s="2" t="inlineStr">
        <is>
          <t>2026-06-01 19:38:00</t>
        </is>
      </c>
      <c r="D172" s="3" t="inlineStr"/>
      <c r="E172" s="2" t="n">
        <v>49</v>
      </c>
      <c r="F172" s="2" t="inlineStr">
        <is>
          <t>Investment</t>
        </is>
      </c>
      <c r="G172" s="2" t="inlineStr">
        <is>
          <t>Travel</t>
        </is>
      </c>
      <c r="H172" s="2" t="inlineStr">
        <is>
          <t>$7634.31</t>
        </is>
      </c>
      <c r="I172" s="2" t="n">
        <v>37076.59</v>
      </c>
      <c r="J172" s="2" t="inlineStr">
        <is>
          <t xml:space="preserve">Mobile App </t>
        </is>
      </c>
      <c r="K172" s="2" t="inlineStr">
        <is>
          <t>N</t>
        </is>
      </c>
    </row>
    <row r="173">
      <c r="A173" s="2" t="inlineStr">
        <is>
          <t>TXN100173</t>
        </is>
      </c>
      <c r="B173" s="2" t="inlineStr">
        <is>
          <t xml:space="preserve">  CUST0173 </t>
        </is>
      </c>
      <c r="C173" s="2" t="inlineStr">
        <is>
          <t>2026-06-01 18:41:00</t>
        </is>
      </c>
      <c r="D173" s="2" t="inlineStr">
        <is>
          <t>F</t>
        </is>
      </c>
      <c r="E173" s="2" t="n">
        <v>40</v>
      </c>
      <c r="F173" s="2" t="inlineStr">
        <is>
          <t>Investment</t>
        </is>
      </c>
      <c r="G173" s="2" t="inlineStr">
        <is>
          <t>Utilities</t>
        </is>
      </c>
      <c r="H173" s="2" t="inlineStr">
        <is>
          <t>$4015.92</t>
        </is>
      </c>
      <c r="I173" s="2" t="n">
        <v>47907.26</v>
      </c>
      <c r="J173" s="2" t="inlineStr">
        <is>
          <t>ATM</t>
        </is>
      </c>
      <c r="K173" s="2" t="inlineStr">
        <is>
          <t>N</t>
        </is>
      </c>
    </row>
    <row r="174">
      <c r="A174" s="2" t="inlineStr">
        <is>
          <t>TXN100174</t>
        </is>
      </c>
      <c r="B174" s="2" t="inlineStr">
        <is>
          <t xml:space="preserve">  CUST0174 </t>
        </is>
      </c>
      <c r="C174" s="2" t="inlineStr">
        <is>
          <t>2026-06-01 03:51:00</t>
        </is>
      </c>
      <c r="D174" s="2" t="inlineStr">
        <is>
          <t>Female</t>
        </is>
      </c>
      <c r="E174" s="2" t="n">
        <v>65</v>
      </c>
      <c r="F174" s="2" t="inlineStr">
        <is>
          <t>Savings</t>
        </is>
      </c>
      <c r="G174" s="2" t="inlineStr">
        <is>
          <t>Travel</t>
        </is>
      </c>
      <c r="H174" s="2" t="inlineStr">
        <is>
          <t>$5172.56</t>
        </is>
      </c>
      <c r="I174" s="2" t="n">
        <v>2437.54</v>
      </c>
      <c r="J174" s="2" t="inlineStr">
        <is>
          <t>ATM</t>
        </is>
      </c>
      <c r="K174" s="2" t="inlineStr">
        <is>
          <t>N</t>
        </is>
      </c>
    </row>
    <row r="175">
      <c r="A175" s="2" t="inlineStr">
        <is>
          <t>TXN100175</t>
        </is>
      </c>
      <c r="B175" s="2" t="inlineStr">
        <is>
          <t xml:space="preserve">  CUST0175 </t>
        </is>
      </c>
      <c r="C175" s="2" t="inlineStr">
        <is>
          <t>2026-06-01 14:33:00</t>
        </is>
      </c>
      <c r="D175" s="2" t="inlineStr">
        <is>
          <t>Male</t>
        </is>
      </c>
      <c r="E175" s="2" t="n">
        <v>43</v>
      </c>
      <c r="F175" s="2" t="inlineStr">
        <is>
          <t>Checking</t>
        </is>
      </c>
      <c r="G175" s="2" t="inlineStr">
        <is>
          <t>Entertainment</t>
        </is>
      </c>
      <c r="H175" s="2" t="inlineStr">
        <is>
          <t>$3105.46</t>
        </is>
      </c>
      <c r="I175" s="2" t="n">
        <v>38836.01</v>
      </c>
      <c r="J175" s="2" t="inlineStr">
        <is>
          <t xml:space="preserve">Mobile App </t>
        </is>
      </c>
      <c r="K175" s="2" t="inlineStr">
        <is>
          <t>N</t>
        </is>
      </c>
    </row>
    <row r="176">
      <c r="A176" s="2" t="inlineStr">
        <is>
          <t>TXN100176</t>
        </is>
      </c>
      <c r="B176" s="2" t="inlineStr">
        <is>
          <t xml:space="preserve">  CUST0176 </t>
        </is>
      </c>
      <c r="C176" s="2" t="inlineStr">
        <is>
          <t>2026-06-01 20:41:00</t>
        </is>
      </c>
      <c r="D176" s="2" t="inlineStr">
        <is>
          <t>Female</t>
        </is>
      </c>
      <c r="E176" s="2" t="n">
        <v>24</v>
      </c>
      <c r="F176" s="2" t="inlineStr">
        <is>
          <t>Checking</t>
        </is>
      </c>
      <c r="G176" s="2" t="inlineStr">
        <is>
          <t>groceries</t>
        </is>
      </c>
      <c r="H176" s="2" t="inlineStr">
        <is>
          <t>$4468.13</t>
        </is>
      </c>
      <c r="I176" s="2" t="n">
        <v>19634.93</v>
      </c>
      <c r="J176" s="2" t="inlineStr">
        <is>
          <t>Branch Office</t>
        </is>
      </c>
      <c r="K176" s="2" t="inlineStr">
        <is>
          <t>N</t>
        </is>
      </c>
    </row>
    <row r="177">
      <c r="A177" s="2" t="inlineStr">
        <is>
          <t>TXN100177</t>
        </is>
      </c>
      <c r="B177" s="2" t="inlineStr">
        <is>
          <t xml:space="preserve">  CUST0177 </t>
        </is>
      </c>
      <c r="C177" s="2" t="inlineStr">
        <is>
          <t>2026-06-01 23:54:00</t>
        </is>
      </c>
      <c r="D177" s="2" t="inlineStr">
        <is>
          <t>Male</t>
        </is>
      </c>
      <c r="E177" s="2" t="n">
        <v>41</v>
      </c>
      <c r="F177" s="2" t="inlineStr">
        <is>
          <t>Savings</t>
        </is>
      </c>
      <c r="G177" s="2" t="inlineStr">
        <is>
          <t>Travel</t>
        </is>
      </c>
      <c r="H177" s="2" t="inlineStr">
        <is>
          <t>$5312.26</t>
        </is>
      </c>
      <c r="I177" s="2" t="n">
        <v>45878.95</v>
      </c>
      <c r="J177" s="2" t="inlineStr">
        <is>
          <t>Branch Office</t>
        </is>
      </c>
      <c r="K177" s="2" t="inlineStr">
        <is>
          <t>N</t>
        </is>
      </c>
    </row>
    <row r="178">
      <c r="A178" s="2" t="inlineStr">
        <is>
          <t>TXN100178</t>
        </is>
      </c>
      <c r="B178" s="2" t="inlineStr">
        <is>
          <t xml:space="preserve">  CUST0178 </t>
        </is>
      </c>
      <c r="C178" s="2" t="inlineStr">
        <is>
          <t>2026-06-01 20:44:00</t>
        </is>
      </c>
      <c r="D178" s="3" t="inlineStr"/>
      <c r="E178" s="2" t="n">
        <v>28</v>
      </c>
      <c r="F178" s="2" t="inlineStr">
        <is>
          <t>Investment</t>
        </is>
      </c>
      <c r="G178" s="2" t="inlineStr">
        <is>
          <t>groceries</t>
        </is>
      </c>
      <c r="H178" s="2" t="inlineStr">
        <is>
          <t>$2483.56</t>
        </is>
      </c>
      <c r="I178" s="2" t="n">
        <v>19145.63</v>
      </c>
      <c r="J178" s="2" t="inlineStr">
        <is>
          <t>Branch Office</t>
        </is>
      </c>
      <c r="K178" s="2" t="inlineStr">
        <is>
          <t>N</t>
        </is>
      </c>
    </row>
    <row r="179">
      <c r="A179" s="2" t="inlineStr">
        <is>
          <t>TXN100179</t>
        </is>
      </c>
      <c r="B179" s="2" t="inlineStr">
        <is>
          <t xml:space="preserve">  CUST0179 </t>
        </is>
      </c>
      <c r="C179" s="2" t="inlineStr">
        <is>
          <t>2026-06-01 04:42:00</t>
        </is>
      </c>
      <c r="D179" s="2" t="inlineStr">
        <is>
          <t>MALE</t>
        </is>
      </c>
      <c r="E179" s="2" t="n">
        <v>61</v>
      </c>
      <c r="F179" s="2" t="inlineStr">
        <is>
          <t>Investment</t>
        </is>
      </c>
      <c r="G179" s="2" t="inlineStr">
        <is>
          <t>Utilities</t>
        </is>
      </c>
      <c r="H179" s="2" t="inlineStr">
        <is>
          <t>$4072.82</t>
        </is>
      </c>
      <c r="I179" s="2" t="n">
        <v>1402.41</v>
      </c>
      <c r="J179" s="2" t="inlineStr">
        <is>
          <t>Branch Office</t>
        </is>
      </c>
      <c r="K179" s="2" t="inlineStr">
        <is>
          <t>N</t>
        </is>
      </c>
    </row>
    <row r="180">
      <c r="A180" s="2" t="inlineStr">
        <is>
          <t>TXN100180</t>
        </is>
      </c>
      <c r="B180" s="2" t="inlineStr">
        <is>
          <t xml:space="preserve">  CUST0180 </t>
        </is>
      </c>
      <c r="C180" s="3" t="inlineStr"/>
      <c r="D180" s="2" t="inlineStr">
        <is>
          <t>Female</t>
        </is>
      </c>
      <c r="E180" s="2" t="n">
        <v>69</v>
      </c>
      <c r="F180" s="2" t="inlineStr">
        <is>
          <t>Checking</t>
        </is>
      </c>
      <c r="G180" s="2" t="inlineStr">
        <is>
          <t>GROCERIES</t>
        </is>
      </c>
      <c r="H180" s="2" t="inlineStr">
        <is>
          <t>$1820.08</t>
        </is>
      </c>
      <c r="I180" s="2" t="n">
        <v>7309.48</v>
      </c>
      <c r="J180" s="2" t="inlineStr">
        <is>
          <t xml:space="preserve">Mobile App </t>
        </is>
      </c>
      <c r="K180" s="2" t="inlineStr">
        <is>
          <t>N</t>
        </is>
      </c>
    </row>
    <row r="181">
      <c r="A181" s="2" t="inlineStr">
        <is>
          <t>TXN100181</t>
        </is>
      </c>
      <c r="B181" s="2" t="inlineStr">
        <is>
          <t xml:space="preserve">  CUST0181 </t>
        </is>
      </c>
      <c r="C181" s="2" t="inlineStr">
        <is>
          <t>2026-06-01 09:54:00</t>
        </is>
      </c>
      <c r="D181" s="2" t="inlineStr">
        <is>
          <t>MALE</t>
        </is>
      </c>
      <c r="E181" s="2" t="n">
        <v>52</v>
      </c>
      <c r="F181" s="2" t="inlineStr">
        <is>
          <t>Investment</t>
        </is>
      </c>
      <c r="G181" s="2" t="inlineStr">
        <is>
          <t>Travel</t>
        </is>
      </c>
      <c r="H181" s="2" t="inlineStr">
        <is>
          <t>$311.6</t>
        </is>
      </c>
      <c r="I181" s="2" t="n">
        <v>17169.84</v>
      </c>
      <c r="J181" s="2" t="inlineStr">
        <is>
          <t>Online Banking</t>
        </is>
      </c>
      <c r="K181" s="2" t="inlineStr">
        <is>
          <t>N</t>
        </is>
      </c>
    </row>
    <row r="182">
      <c r="A182" s="2" t="inlineStr">
        <is>
          <t>TXN100182</t>
        </is>
      </c>
      <c r="B182" s="2" t="inlineStr">
        <is>
          <t xml:space="preserve">  CUST0182 </t>
        </is>
      </c>
      <c r="C182" s="2" t="inlineStr">
        <is>
          <t>2026-06-01 19:24:00</t>
        </is>
      </c>
      <c r="D182" s="2" t="inlineStr">
        <is>
          <t>Male</t>
        </is>
      </c>
      <c r="E182" s="2" t="n">
        <v>30</v>
      </c>
      <c r="F182" s="2" t="inlineStr">
        <is>
          <t>Savings</t>
        </is>
      </c>
      <c r="G182" s="2" t="inlineStr">
        <is>
          <t>Travel</t>
        </is>
      </c>
      <c r="H182" s="2" t="inlineStr">
        <is>
          <t>$6474.26</t>
        </is>
      </c>
      <c r="I182" s="2" t="n">
        <v>8694.190000000001</v>
      </c>
      <c r="J182" s="2" t="inlineStr">
        <is>
          <t>ATM</t>
        </is>
      </c>
      <c r="K182" s="2" t="inlineStr">
        <is>
          <t>N</t>
        </is>
      </c>
    </row>
    <row r="183">
      <c r="A183" s="2" t="inlineStr">
        <is>
          <t>TXN100183</t>
        </is>
      </c>
      <c r="B183" s="2" t="inlineStr">
        <is>
          <t xml:space="preserve">  CUST0183 </t>
        </is>
      </c>
      <c r="C183" s="2" t="inlineStr">
        <is>
          <t>2026-06-01 01:26:00</t>
        </is>
      </c>
      <c r="D183" s="2" t="inlineStr">
        <is>
          <t>Female</t>
        </is>
      </c>
      <c r="E183" s="2" t="n">
        <v>63</v>
      </c>
      <c r="F183" s="2" t="inlineStr">
        <is>
          <t>Investment</t>
        </is>
      </c>
      <c r="G183" s="2" t="inlineStr">
        <is>
          <t>GROCERIES</t>
        </is>
      </c>
      <c r="H183" s="2" t="inlineStr">
        <is>
          <t>$7757.01</t>
        </is>
      </c>
      <c r="I183" s="2" t="n">
        <v>30724.47</v>
      </c>
      <c r="J183" s="2" t="inlineStr">
        <is>
          <t>ATM</t>
        </is>
      </c>
      <c r="K183" s="2" t="inlineStr">
        <is>
          <t>N</t>
        </is>
      </c>
    </row>
    <row r="184">
      <c r="A184" s="2" t="inlineStr">
        <is>
          <t>TXN100184</t>
        </is>
      </c>
      <c r="B184" s="2" t="inlineStr">
        <is>
          <t xml:space="preserve">  CUST0184 </t>
        </is>
      </c>
      <c r="C184" s="2" t="inlineStr">
        <is>
          <t>2026-06-01 07:19:00</t>
        </is>
      </c>
      <c r="D184" s="2" t="n"/>
      <c r="E184" s="2" t="n">
        <v>73</v>
      </c>
      <c r="F184" s="2" t="inlineStr">
        <is>
          <t>Savings</t>
        </is>
      </c>
      <c r="G184" s="2" t="inlineStr">
        <is>
          <t>Entertainment</t>
        </is>
      </c>
      <c r="H184" s="2" t="inlineStr">
        <is>
          <t>$5429.67</t>
        </is>
      </c>
      <c r="I184" s="2" t="n">
        <v>28735.76</v>
      </c>
      <c r="J184" s="2" t="inlineStr">
        <is>
          <t>ATM</t>
        </is>
      </c>
      <c r="K184" s="2" t="inlineStr">
        <is>
          <t>N</t>
        </is>
      </c>
    </row>
    <row r="185">
      <c r="A185" s="2" t="inlineStr">
        <is>
          <t>TXN100185</t>
        </is>
      </c>
      <c r="B185" s="2" t="inlineStr">
        <is>
          <t xml:space="preserve">  CUST0185 </t>
        </is>
      </c>
      <c r="C185" s="2" t="inlineStr">
        <is>
          <t>2026-06-01 14:49:00</t>
        </is>
      </c>
      <c r="D185" s="2" t="inlineStr">
        <is>
          <t>female</t>
        </is>
      </c>
      <c r="E185" s="2" t="n">
        <v>69</v>
      </c>
      <c r="F185" s="2" t="inlineStr">
        <is>
          <t>Checking</t>
        </is>
      </c>
      <c r="G185" s="2" t="inlineStr">
        <is>
          <t>Travel</t>
        </is>
      </c>
      <c r="H185" s="2" t="inlineStr">
        <is>
          <t>$4224.4</t>
        </is>
      </c>
      <c r="I185" s="2" t="n">
        <v>48330.27</v>
      </c>
      <c r="J185" s="2" t="inlineStr">
        <is>
          <t>Online Banking</t>
        </is>
      </c>
      <c r="K185" s="2" t="inlineStr">
        <is>
          <t>N</t>
        </is>
      </c>
    </row>
    <row r="186">
      <c r="A186" s="2" t="inlineStr">
        <is>
          <t>TXN100186</t>
        </is>
      </c>
      <c r="B186" s="2" t="inlineStr">
        <is>
          <t xml:space="preserve">  CUST0186 </t>
        </is>
      </c>
      <c r="C186" s="2" t="inlineStr">
        <is>
          <t>2026-06-01 19:08:00</t>
        </is>
      </c>
      <c r="D186" s="2" t="inlineStr">
        <is>
          <t>female</t>
        </is>
      </c>
      <c r="E186" s="2" t="n">
        <v>23</v>
      </c>
      <c r="F186" s="2" t="inlineStr">
        <is>
          <t>Investment</t>
        </is>
      </c>
      <c r="G186" s="2" t="inlineStr">
        <is>
          <t>Utilities</t>
        </is>
      </c>
      <c r="H186" s="2" t="inlineStr">
        <is>
          <t>$6994.19</t>
        </is>
      </c>
      <c r="I186" s="2" t="n">
        <v>27949.77</v>
      </c>
      <c r="J186" s="2" t="inlineStr">
        <is>
          <t xml:space="preserve">Mobile App </t>
        </is>
      </c>
      <c r="K186" s="2" t="inlineStr">
        <is>
          <t>N</t>
        </is>
      </c>
    </row>
    <row r="187">
      <c r="A187" s="2" t="inlineStr">
        <is>
          <t>TXN100187</t>
        </is>
      </c>
      <c r="B187" s="2" t="inlineStr">
        <is>
          <t xml:space="preserve">  CUST0187 </t>
        </is>
      </c>
      <c r="C187" s="2" t="inlineStr">
        <is>
          <t>2026-06-01 22:54:00</t>
        </is>
      </c>
      <c r="D187" s="2" t="inlineStr">
        <is>
          <t>MALE</t>
        </is>
      </c>
      <c r="E187" s="2" t="n">
        <v>38</v>
      </c>
      <c r="F187" s="2" t="inlineStr">
        <is>
          <t>Savings</t>
        </is>
      </c>
      <c r="G187" s="2" t="inlineStr">
        <is>
          <t>GROCERIES</t>
        </is>
      </c>
      <c r="H187" s="2" t="inlineStr">
        <is>
          <t>$2189.6</t>
        </is>
      </c>
      <c r="I187" s="2" t="n">
        <v>45312.66</v>
      </c>
      <c r="J187" s="2" t="inlineStr">
        <is>
          <t>Online Banking</t>
        </is>
      </c>
      <c r="K187" s="2" t="inlineStr">
        <is>
          <t>N</t>
        </is>
      </c>
    </row>
    <row r="188">
      <c r="A188" s="2" t="inlineStr">
        <is>
          <t>TXN100188</t>
        </is>
      </c>
      <c r="B188" s="2" t="inlineStr">
        <is>
          <t xml:space="preserve">  CUST0188 </t>
        </is>
      </c>
      <c r="C188" s="2" t="inlineStr">
        <is>
          <t>2026-06-01 13:05:00</t>
        </is>
      </c>
      <c r="D188" s="2" t="inlineStr">
        <is>
          <t>F</t>
        </is>
      </c>
      <c r="E188" s="2" t="n">
        <v>72</v>
      </c>
      <c r="F188" s="2" t="inlineStr">
        <is>
          <t>Checking</t>
        </is>
      </c>
      <c r="G188" s="2" t="inlineStr">
        <is>
          <t>Entertainment</t>
        </is>
      </c>
      <c r="H188" s="2" t="inlineStr">
        <is>
          <t>$7444.47</t>
        </is>
      </c>
      <c r="I188" s="2" t="n">
        <v>21037.4</v>
      </c>
      <c r="J188" s="2" t="inlineStr">
        <is>
          <t>ATM</t>
        </is>
      </c>
      <c r="K188" s="2" t="inlineStr">
        <is>
          <t>Y</t>
        </is>
      </c>
    </row>
    <row r="189">
      <c r="A189" s="2" t="inlineStr">
        <is>
          <t>TXN100189</t>
        </is>
      </c>
      <c r="B189" s="2" t="inlineStr">
        <is>
          <t xml:space="preserve">  CUST0189 </t>
        </is>
      </c>
      <c r="C189" s="2" t="inlineStr">
        <is>
          <t>2026-06-01 07:24:00</t>
        </is>
      </c>
      <c r="D189" s="2" t="inlineStr">
        <is>
          <t>MALE</t>
        </is>
      </c>
      <c r="E189" s="2" t="n">
        <v>43</v>
      </c>
      <c r="F189" s="2" t="inlineStr">
        <is>
          <t>Savings</t>
        </is>
      </c>
      <c r="G189" s="2" t="inlineStr">
        <is>
          <t>groceries</t>
        </is>
      </c>
      <c r="H189" s="2" t="inlineStr">
        <is>
          <t>$2556.29</t>
        </is>
      </c>
      <c r="I189" s="2" t="n">
        <v>5404.61</v>
      </c>
      <c r="J189" s="2" t="inlineStr">
        <is>
          <t>Branch Office</t>
        </is>
      </c>
      <c r="K189" s="2" t="inlineStr">
        <is>
          <t>N</t>
        </is>
      </c>
    </row>
    <row r="190">
      <c r="A190" s="2" t="inlineStr">
        <is>
          <t>TXN100190</t>
        </is>
      </c>
      <c r="B190" s="2" t="inlineStr">
        <is>
          <t xml:space="preserve">  CUST0190 </t>
        </is>
      </c>
      <c r="C190" s="2" t="inlineStr">
        <is>
          <t>2026-06-01 04:08:00</t>
        </is>
      </c>
      <c r="D190" s="2" t="inlineStr">
        <is>
          <t>M</t>
        </is>
      </c>
      <c r="E190" s="2" t="n">
        <v>38</v>
      </c>
      <c r="F190" s="2" t="inlineStr">
        <is>
          <t>Checking</t>
        </is>
      </c>
      <c r="G190" s="2" t="inlineStr">
        <is>
          <t>GROCERIES</t>
        </is>
      </c>
      <c r="H190" s="2" t="inlineStr">
        <is>
          <t>$6073.14</t>
        </is>
      </c>
      <c r="I190" s="2" t="n">
        <v>23720.95</v>
      </c>
      <c r="J190" s="2" t="inlineStr">
        <is>
          <t xml:space="preserve">Mobile App </t>
        </is>
      </c>
      <c r="K190" s="2" t="inlineStr">
        <is>
          <t>N</t>
        </is>
      </c>
    </row>
    <row r="191">
      <c r="A191" s="2" t="inlineStr">
        <is>
          <t>TXN100191</t>
        </is>
      </c>
      <c r="B191" s="2" t="inlineStr">
        <is>
          <t xml:space="preserve">  CUST0191 </t>
        </is>
      </c>
      <c r="C191" s="2" t="inlineStr">
        <is>
          <t>2026-06-01 02:01:00</t>
        </is>
      </c>
      <c r="D191" s="2" t="inlineStr">
        <is>
          <t>female</t>
        </is>
      </c>
      <c r="E191" s="2" t="n">
        <v>33</v>
      </c>
      <c r="F191" s="2" t="inlineStr">
        <is>
          <t>Savings</t>
        </is>
      </c>
      <c r="G191" s="2" t="inlineStr">
        <is>
          <t>Travel</t>
        </is>
      </c>
      <c r="H191" s="2" t="inlineStr">
        <is>
          <t>$7522.41</t>
        </is>
      </c>
      <c r="I191" s="2" t="n">
        <v>30639.56</v>
      </c>
      <c r="J191" s="2" t="inlineStr">
        <is>
          <t>ATM</t>
        </is>
      </c>
      <c r="K191" s="2" t="inlineStr">
        <is>
          <t>N</t>
        </is>
      </c>
    </row>
    <row r="192">
      <c r="A192" s="2" t="inlineStr">
        <is>
          <t>TXN100192</t>
        </is>
      </c>
      <c r="B192" s="2" t="inlineStr">
        <is>
          <t xml:space="preserve">  CUST0192 </t>
        </is>
      </c>
      <c r="C192" s="2" t="inlineStr">
        <is>
          <t>2026-06-01 09:15:00</t>
        </is>
      </c>
      <c r="D192" s="2" t="inlineStr">
        <is>
          <t>female</t>
        </is>
      </c>
      <c r="E192" s="2" t="n">
        <v>27</v>
      </c>
      <c r="F192" s="2" t="inlineStr">
        <is>
          <t>Savings</t>
        </is>
      </c>
      <c r="G192" s="2" t="inlineStr">
        <is>
          <t>GROCERIES</t>
        </is>
      </c>
      <c r="H192" s="2" t="inlineStr">
        <is>
          <t>$3364.41</t>
        </is>
      </c>
      <c r="I192" s="2" t="n">
        <v>39798.01</v>
      </c>
      <c r="J192" s="2" t="inlineStr">
        <is>
          <t>ATM</t>
        </is>
      </c>
      <c r="K192" s="2" t="inlineStr">
        <is>
          <t>N</t>
        </is>
      </c>
    </row>
    <row r="193">
      <c r="A193" s="2" t="inlineStr">
        <is>
          <t>TXN100193</t>
        </is>
      </c>
      <c r="B193" s="2" t="inlineStr">
        <is>
          <t xml:space="preserve">  CUST0193 </t>
        </is>
      </c>
      <c r="C193" s="2" t="inlineStr">
        <is>
          <t>2026-06-01 02:07:00</t>
        </is>
      </c>
      <c r="D193" s="2" t="n"/>
      <c r="E193" s="2" t="n">
        <v>58</v>
      </c>
      <c r="F193" s="2" t="inlineStr">
        <is>
          <t>Investment</t>
        </is>
      </c>
      <c r="G193" s="2" t="inlineStr">
        <is>
          <t>groceries</t>
        </is>
      </c>
      <c r="H193" s="2" t="inlineStr">
        <is>
          <t>$5059.32</t>
        </is>
      </c>
      <c r="I193" s="2" t="n">
        <v>28964.85</v>
      </c>
      <c r="J193" s="2" t="inlineStr">
        <is>
          <t>Online Banking</t>
        </is>
      </c>
      <c r="K193" s="2" t="inlineStr">
        <is>
          <t>N</t>
        </is>
      </c>
    </row>
    <row r="194">
      <c r="A194" s="2" t="inlineStr">
        <is>
          <t>TXN100194</t>
        </is>
      </c>
      <c r="B194" s="2" t="inlineStr">
        <is>
          <t xml:space="preserve">  CUST0194 </t>
        </is>
      </c>
      <c r="C194" s="2" t="inlineStr">
        <is>
          <t>2026-06-01 09:27:00</t>
        </is>
      </c>
      <c r="D194" s="2" t="inlineStr">
        <is>
          <t>M</t>
        </is>
      </c>
      <c r="E194" s="2" t="n">
        <v>59</v>
      </c>
      <c r="F194" s="2" t="inlineStr">
        <is>
          <t>Checking</t>
        </is>
      </c>
      <c r="G194" s="2" t="inlineStr">
        <is>
          <t>GROCERIES</t>
        </is>
      </c>
      <c r="H194" s="2" t="inlineStr">
        <is>
          <t>$4569.6</t>
        </is>
      </c>
      <c r="I194" s="2" t="n">
        <v>9772.040000000001</v>
      </c>
      <c r="J194" s="2" t="inlineStr">
        <is>
          <t xml:space="preserve">Mobile App </t>
        </is>
      </c>
      <c r="K194" s="2" t="inlineStr">
        <is>
          <t>N</t>
        </is>
      </c>
    </row>
    <row r="195">
      <c r="A195" s="2" t="inlineStr">
        <is>
          <t>TXN100195</t>
        </is>
      </c>
      <c r="B195" s="2" t="inlineStr">
        <is>
          <t xml:space="preserve">  CUST0195 </t>
        </is>
      </c>
      <c r="C195" s="2" t="inlineStr">
        <is>
          <t>2026-06-01 16:23:00</t>
        </is>
      </c>
      <c r="D195" s="2" t="inlineStr">
        <is>
          <t>MALE</t>
        </is>
      </c>
      <c r="E195" s="2" t="n">
        <v>53</v>
      </c>
      <c r="F195" s="2" t="inlineStr">
        <is>
          <t>Investment</t>
        </is>
      </c>
      <c r="G195" s="2" t="inlineStr">
        <is>
          <t>Travel</t>
        </is>
      </c>
      <c r="H195" s="2" t="inlineStr">
        <is>
          <t>$6293.43</t>
        </is>
      </c>
      <c r="I195" s="2" t="n">
        <v>25627.32</v>
      </c>
      <c r="J195" s="2" t="inlineStr">
        <is>
          <t xml:space="preserve">Mobile App </t>
        </is>
      </c>
      <c r="K195" s="2" t="inlineStr">
        <is>
          <t>N</t>
        </is>
      </c>
    </row>
    <row r="196">
      <c r="A196" s="2" t="inlineStr">
        <is>
          <t>TXN100196</t>
        </is>
      </c>
      <c r="B196" s="2" t="inlineStr">
        <is>
          <t xml:space="preserve">  CUST0196 </t>
        </is>
      </c>
      <c r="C196" s="2" t="inlineStr">
        <is>
          <t>2026-06-01 12:55:00</t>
        </is>
      </c>
      <c r="D196" s="2" t="n"/>
      <c r="E196" s="2" t="n">
        <v>22</v>
      </c>
      <c r="F196" s="2" t="inlineStr">
        <is>
          <t>Investment</t>
        </is>
      </c>
      <c r="G196" s="2" t="inlineStr">
        <is>
          <t>Utilities</t>
        </is>
      </c>
      <c r="H196" s="2" t="inlineStr">
        <is>
          <t>$7848.5</t>
        </is>
      </c>
      <c r="I196" s="2" t="n">
        <v>13055.69</v>
      </c>
      <c r="J196" s="2" t="inlineStr">
        <is>
          <t xml:space="preserve">Mobile App </t>
        </is>
      </c>
      <c r="K196" s="2" t="inlineStr">
        <is>
          <t>N</t>
        </is>
      </c>
    </row>
    <row r="197">
      <c r="A197" s="2" t="inlineStr">
        <is>
          <t>TXN100197</t>
        </is>
      </c>
      <c r="B197" s="2" t="inlineStr">
        <is>
          <t xml:space="preserve">  CUST0197 </t>
        </is>
      </c>
      <c r="C197" s="2" t="inlineStr">
        <is>
          <t>2026-06-01 02:22:00</t>
        </is>
      </c>
      <c r="D197" s="2" t="inlineStr">
        <is>
          <t>F</t>
        </is>
      </c>
      <c r="E197" s="2" t="n">
        <v>66</v>
      </c>
      <c r="F197" s="2" t="inlineStr">
        <is>
          <t>Investment</t>
        </is>
      </c>
      <c r="G197" s="2" t="inlineStr">
        <is>
          <t>groceries</t>
        </is>
      </c>
      <c r="H197" s="2" t="inlineStr">
        <is>
          <t>$6174.3</t>
        </is>
      </c>
      <c r="I197" s="2" t="n">
        <v>36891.76</v>
      </c>
      <c r="J197" s="2" t="inlineStr">
        <is>
          <t>Branch Office</t>
        </is>
      </c>
      <c r="K197" s="2" t="inlineStr">
        <is>
          <t>N</t>
        </is>
      </c>
    </row>
    <row r="198">
      <c r="A198" s="2" t="inlineStr">
        <is>
          <t>TXN100198</t>
        </is>
      </c>
      <c r="B198" s="2" t="inlineStr">
        <is>
          <t xml:space="preserve">  CUST0198 </t>
        </is>
      </c>
      <c r="C198" s="2" t="inlineStr">
        <is>
          <t>2026-06-01 04:02:00</t>
        </is>
      </c>
      <c r="D198" s="2" t="inlineStr">
        <is>
          <t>Female</t>
        </is>
      </c>
      <c r="E198" s="2" t="n">
        <v>54</v>
      </c>
      <c r="F198" s="2" t="inlineStr">
        <is>
          <t>Checking</t>
        </is>
      </c>
      <c r="G198" s="2" t="inlineStr">
        <is>
          <t>GROCERIES</t>
        </is>
      </c>
      <c r="H198" s="2" t="inlineStr">
        <is>
          <t>$6644.77</t>
        </is>
      </c>
      <c r="I198" s="2" t="n">
        <v>34391.79</v>
      </c>
      <c r="J198" s="2" t="inlineStr">
        <is>
          <t>ATM</t>
        </is>
      </c>
      <c r="K198" s="2" t="inlineStr">
        <is>
          <t>N</t>
        </is>
      </c>
    </row>
    <row r="199">
      <c r="A199" s="2" t="inlineStr">
        <is>
          <t>TXN100199</t>
        </is>
      </c>
      <c r="B199" s="2" t="inlineStr">
        <is>
          <t xml:space="preserve">  CUST0199 </t>
        </is>
      </c>
      <c r="C199" s="2" t="inlineStr">
        <is>
          <t>2026-06-01 20:11:00</t>
        </is>
      </c>
      <c r="D199" s="2" t="inlineStr">
        <is>
          <t>Male</t>
        </is>
      </c>
      <c r="E199" s="2" t="n">
        <v>24</v>
      </c>
      <c r="F199" s="2" t="inlineStr">
        <is>
          <t>Investment</t>
        </is>
      </c>
      <c r="G199" s="2" t="inlineStr">
        <is>
          <t>Utilities</t>
        </is>
      </c>
      <c r="H199" s="2" t="inlineStr">
        <is>
          <t>$305.5</t>
        </is>
      </c>
      <c r="I199" s="2" t="n">
        <v>10478.75</v>
      </c>
      <c r="J199" s="2" t="inlineStr">
        <is>
          <t>Online Banking</t>
        </is>
      </c>
      <c r="K199" s="2" t="inlineStr">
        <is>
          <t>N</t>
        </is>
      </c>
    </row>
    <row r="200">
      <c r="A200" s="2" t="inlineStr">
        <is>
          <t>TXN100200</t>
        </is>
      </c>
      <c r="B200" s="2" t="inlineStr">
        <is>
          <t xml:space="preserve">  CUST0200 </t>
        </is>
      </c>
      <c r="C200" s="2" t="inlineStr">
        <is>
          <t>2026-06-01 01:20:00</t>
        </is>
      </c>
      <c r="D200" s="2" t="inlineStr">
        <is>
          <t>female</t>
        </is>
      </c>
      <c r="E200" s="2" t="n">
        <v>52</v>
      </c>
      <c r="F200" s="2" t="inlineStr">
        <is>
          <t>Checking</t>
        </is>
      </c>
      <c r="G200" s="2" t="inlineStr">
        <is>
          <t>Travel</t>
        </is>
      </c>
      <c r="H200" s="2" t="inlineStr">
        <is>
          <t>$3792.46</t>
        </is>
      </c>
      <c r="I200" s="2" t="n">
        <v>2312.73</v>
      </c>
      <c r="J200" s="2" t="inlineStr">
        <is>
          <t>Online Banking</t>
        </is>
      </c>
      <c r="K200" s="2" t="inlineStr">
        <is>
          <t>N</t>
        </is>
      </c>
    </row>
    <row r="201">
      <c r="A201" s="2" t="inlineStr">
        <is>
          <t>TXN100201</t>
        </is>
      </c>
      <c r="B201" s="2" t="inlineStr">
        <is>
          <t xml:space="preserve">  CUST0201 </t>
        </is>
      </c>
      <c r="C201" s="2" t="inlineStr">
        <is>
          <t>2026-06-01 09:22:00</t>
        </is>
      </c>
      <c r="D201" s="2" t="inlineStr">
        <is>
          <t>M</t>
        </is>
      </c>
      <c r="E201" s="2" t="n">
        <v>75</v>
      </c>
      <c r="F201" s="2" t="inlineStr">
        <is>
          <t>Investment</t>
        </is>
      </c>
      <c r="G201" s="2" t="inlineStr">
        <is>
          <t>Entertainment</t>
        </is>
      </c>
      <c r="H201" s="2" t="inlineStr">
        <is>
          <t>$2193.0</t>
        </is>
      </c>
      <c r="I201" s="2" t="n">
        <v>40067.45</v>
      </c>
      <c r="J201" s="2" t="inlineStr">
        <is>
          <t>ATM</t>
        </is>
      </c>
      <c r="K201" s="2" t="inlineStr">
        <is>
          <t>N</t>
        </is>
      </c>
    </row>
    <row r="202">
      <c r="A202" s="2" t="inlineStr">
        <is>
          <t>TXN100202</t>
        </is>
      </c>
      <c r="B202" s="2" t="inlineStr">
        <is>
          <t xml:space="preserve">  CUST0202 </t>
        </is>
      </c>
      <c r="C202" s="2" t="inlineStr">
        <is>
          <t>2026-06-01 12:47:00</t>
        </is>
      </c>
      <c r="D202" s="2" t="n"/>
      <c r="E202" s="2" t="n">
        <v>44</v>
      </c>
      <c r="F202" s="2" t="inlineStr">
        <is>
          <t>Checking</t>
        </is>
      </c>
      <c r="G202" s="2" t="inlineStr">
        <is>
          <t>GROCERIES</t>
        </is>
      </c>
      <c r="H202" s="2" t="inlineStr">
        <is>
          <t>$3974.66</t>
        </is>
      </c>
      <c r="I202" s="2" t="n">
        <v>25127.41</v>
      </c>
      <c r="J202" s="2" t="inlineStr">
        <is>
          <t>Branch Office</t>
        </is>
      </c>
      <c r="K202" s="2" t="inlineStr">
        <is>
          <t>N</t>
        </is>
      </c>
    </row>
    <row r="203">
      <c r="A203" s="2" t="inlineStr">
        <is>
          <t>TXN100203</t>
        </is>
      </c>
      <c r="B203" s="2" t="inlineStr">
        <is>
          <t xml:space="preserve">  CUST0203 </t>
        </is>
      </c>
      <c r="C203" s="2" t="inlineStr">
        <is>
          <t>2026-06-01 02:46:00</t>
        </is>
      </c>
      <c r="D203" s="3" t="inlineStr"/>
      <c r="E203" s="2" t="n">
        <v>25</v>
      </c>
      <c r="F203" s="2" t="inlineStr">
        <is>
          <t>Checking</t>
        </is>
      </c>
      <c r="G203" s="2" t="inlineStr">
        <is>
          <t>Travel</t>
        </is>
      </c>
      <c r="H203" s="2" t="inlineStr">
        <is>
          <t>$7960.83</t>
        </is>
      </c>
      <c r="I203" s="2" t="n">
        <v>9432.6</v>
      </c>
      <c r="J203" s="2" t="inlineStr">
        <is>
          <t>Branch Office</t>
        </is>
      </c>
      <c r="K203" s="2" t="inlineStr">
        <is>
          <t>N</t>
        </is>
      </c>
    </row>
    <row r="204">
      <c r="A204" s="2" t="inlineStr">
        <is>
          <t>TXN100204</t>
        </is>
      </c>
      <c r="B204" s="2" t="inlineStr">
        <is>
          <t xml:space="preserve">  CUST0204 </t>
        </is>
      </c>
      <c r="C204" s="2" t="inlineStr">
        <is>
          <t>2026-06-01 02:20:00</t>
        </is>
      </c>
      <c r="D204" s="2" t="inlineStr">
        <is>
          <t>female</t>
        </is>
      </c>
      <c r="E204" s="2" t="n">
        <v>39</v>
      </c>
      <c r="F204" s="2" t="inlineStr">
        <is>
          <t>Checking</t>
        </is>
      </c>
      <c r="G204" s="2" t="inlineStr">
        <is>
          <t>Travel</t>
        </is>
      </c>
      <c r="H204" s="2" t="inlineStr">
        <is>
          <t>$5744.13</t>
        </is>
      </c>
      <c r="I204" s="2" t="n">
        <v>8748.92</v>
      </c>
      <c r="J204" s="2" t="inlineStr">
        <is>
          <t>ATM</t>
        </is>
      </c>
      <c r="K204" s="2" t="inlineStr">
        <is>
          <t>N</t>
        </is>
      </c>
    </row>
    <row r="205">
      <c r="A205" s="2" t="inlineStr">
        <is>
          <t>TXN100205</t>
        </is>
      </c>
      <c r="B205" s="2" t="inlineStr">
        <is>
          <t xml:space="preserve">  CUST0205 </t>
        </is>
      </c>
      <c r="C205" s="2" t="inlineStr">
        <is>
          <t>2026-06-01 11:28:00</t>
        </is>
      </c>
      <c r="D205" s="2" t="inlineStr">
        <is>
          <t>M</t>
        </is>
      </c>
      <c r="E205" s="2" t="n">
        <v>66</v>
      </c>
      <c r="F205" s="2" t="inlineStr">
        <is>
          <t>Checking</t>
        </is>
      </c>
      <c r="G205" s="2" t="inlineStr">
        <is>
          <t>Travel</t>
        </is>
      </c>
      <c r="H205" s="2" t="inlineStr">
        <is>
          <t>$7985.22</t>
        </is>
      </c>
      <c r="I205" s="2" t="n">
        <v>14090.49</v>
      </c>
      <c r="J205" s="2" t="inlineStr">
        <is>
          <t xml:space="preserve">Mobile App </t>
        </is>
      </c>
      <c r="K205" s="2" t="inlineStr">
        <is>
          <t>N</t>
        </is>
      </c>
    </row>
    <row r="206">
      <c r="A206" s="2" t="inlineStr">
        <is>
          <t>TXN100206</t>
        </is>
      </c>
      <c r="B206" s="2" t="inlineStr">
        <is>
          <t xml:space="preserve">  CUST0206 </t>
        </is>
      </c>
      <c r="C206" s="2" t="inlineStr">
        <is>
          <t>2026-06-01 20:25:00</t>
        </is>
      </c>
      <c r="D206" s="2" t="inlineStr">
        <is>
          <t>Female</t>
        </is>
      </c>
      <c r="E206" s="2" t="n">
        <v>52</v>
      </c>
      <c r="F206" s="2" t="inlineStr">
        <is>
          <t>Investment</t>
        </is>
      </c>
      <c r="G206" s="2" t="inlineStr">
        <is>
          <t>GROCERIES</t>
        </is>
      </c>
      <c r="H206" s="2" t="inlineStr">
        <is>
          <t>$7622.79</t>
        </is>
      </c>
      <c r="I206" s="2" t="n">
        <v>7567.58</v>
      </c>
      <c r="J206" s="2" t="inlineStr">
        <is>
          <t>ATM</t>
        </is>
      </c>
      <c r="K206" s="2" t="inlineStr">
        <is>
          <t>N</t>
        </is>
      </c>
    </row>
    <row r="207">
      <c r="A207" s="2" t="inlineStr">
        <is>
          <t>TXN100207</t>
        </is>
      </c>
      <c r="B207" s="2" t="inlineStr">
        <is>
          <t xml:space="preserve">  CUST0207 </t>
        </is>
      </c>
      <c r="C207" s="2" t="inlineStr">
        <is>
          <t>2026-06-01 02:15:00</t>
        </is>
      </c>
      <c r="D207" s="2" t="inlineStr">
        <is>
          <t>Female</t>
        </is>
      </c>
      <c r="E207" s="2" t="n">
        <v>43</v>
      </c>
      <c r="F207" s="2" t="inlineStr">
        <is>
          <t>Checking</t>
        </is>
      </c>
      <c r="G207" s="2" t="inlineStr">
        <is>
          <t>Travel</t>
        </is>
      </c>
      <c r="H207" s="2" t="inlineStr">
        <is>
          <t>$268.76</t>
        </is>
      </c>
      <c r="I207" s="2" t="n">
        <v>8095.19</v>
      </c>
      <c r="J207" s="2" t="inlineStr">
        <is>
          <t>ATM</t>
        </is>
      </c>
      <c r="K207" s="2" t="inlineStr">
        <is>
          <t>N</t>
        </is>
      </c>
    </row>
    <row r="208">
      <c r="A208" s="2" t="inlineStr">
        <is>
          <t>TXN100208</t>
        </is>
      </c>
      <c r="B208" s="2" t="inlineStr">
        <is>
          <t xml:space="preserve">  CUST0208 </t>
        </is>
      </c>
      <c r="C208" s="2" t="inlineStr">
        <is>
          <t>2026-06-01 11:23:00</t>
        </is>
      </c>
      <c r="D208" s="2" t="n"/>
      <c r="E208" s="2" t="n">
        <v>68</v>
      </c>
      <c r="F208" s="2" t="inlineStr">
        <is>
          <t>Savings</t>
        </is>
      </c>
      <c r="G208" s="2" t="inlineStr">
        <is>
          <t>Travel</t>
        </is>
      </c>
      <c r="H208" s="2" t="inlineStr">
        <is>
          <t>$1110.18</t>
        </is>
      </c>
      <c r="I208" s="2" t="n">
        <v>18664.02</v>
      </c>
      <c r="J208" s="2" t="inlineStr">
        <is>
          <t>Branch Office</t>
        </is>
      </c>
      <c r="K208" s="2" t="inlineStr">
        <is>
          <t>N</t>
        </is>
      </c>
    </row>
    <row r="209">
      <c r="A209" s="2" t="inlineStr">
        <is>
          <t>TXN100209</t>
        </is>
      </c>
      <c r="B209" s="2" t="inlineStr">
        <is>
          <t xml:space="preserve">  CUST0209 </t>
        </is>
      </c>
      <c r="C209" s="2" t="inlineStr">
        <is>
          <t>2026-06-01 20:17:00</t>
        </is>
      </c>
      <c r="D209" s="2" t="inlineStr">
        <is>
          <t>F</t>
        </is>
      </c>
      <c r="E209" s="2" t="n">
        <v>27</v>
      </c>
      <c r="F209" s="2" t="inlineStr">
        <is>
          <t>Savings</t>
        </is>
      </c>
      <c r="G209" s="2" t="inlineStr">
        <is>
          <t>GROCERIES</t>
        </is>
      </c>
      <c r="H209" s="2" t="inlineStr">
        <is>
          <t>$3997.36</t>
        </is>
      </c>
      <c r="I209" s="2" t="n">
        <v>19655.88</v>
      </c>
      <c r="J209" s="2" t="inlineStr">
        <is>
          <t xml:space="preserve">Mobile App </t>
        </is>
      </c>
      <c r="K209" s="2" t="inlineStr">
        <is>
          <t>N</t>
        </is>
      </c>
    </row>
    <row r="210">
      <c r="A210" s="2" t="inlineStr">
        <is>
          <t>TXN100210</t>
        </is>
      </c>
      <c r="B210" s="2" t="inlineStr">
        <is>
          <t xml:space="preserve">  CUST0210 </t>
        </is>
      </c>
      <c r="C210" s="2" t="inlineStr">
        <is>
          <t>2026-06-01 08:49:00</t>
        </is>
      </c>
      <c r="D210" s="2" t="inlineStr">
        <is>
          <t>female</t>
        </is>
      </c>
      <c r="E210" s="2" t="n">
        <v>65</v>
      </c>
      <c r="F210" s="2" t="inlineStr">
        <is>
          <t>Checking</t>
        </is>
      </c>
      <c r="G210" s="2" t="inlineStr">
        <is>
          <t>GROCERIES</t>
        </is>
      </c>
      <c r="H210" s="2" t="inlineStr">
        <is>
          <t>$7970.96</t>
        </is>
      </c>
      <c r="I210" s="2" t="n">
        <v>14636.06</v>
      </c>
      <c r="J210" s="2" t="inlineStr">
        <is>
          <t>ATM</t>
        </is>
      </c>
      <c r="K210" s="2" t="inlineStr">
        <is>
          <t>N</t>
        </is>
      </c>
    </row>
    <row r="211">
      <c r="A211" s="2" t="inlineStr">
        <is>
          <t>TXN100211</t>
        </is>
      </c>
      <c r="B211" s="2" t="inlineStr">
        <is>
          <t xml:space="preserve">  CUST0211 </t>
        </is>
      </c>
      <c r="C211" s="2" t="inlineStr">
        <is>
          <t>2026-06-01 04:54:00</t>
        </is>
      </c>
      <c r="D211" s="2" t="inlineStr">
        <is>
          <t>MALE</t>
        </is>
      </c>
      <c r="E211" s="2" t="n">
        <v>48</v>
      </c>
      <c r="F211" s="2" t="inlineStr">
        <is>
          <t>Savings</t>
        </is>
      </c>
      <c r="G211" s="2" t="inlineStr">
        <is>
          <t>Utilities</t>
        </is>
      </c>
      <c r="H211" s="2" t="inlineStr">
        <is>
          <t>$7978.13</t>
        </is>
      </c>
      <c r="I211" s="2" t="n">
        <v>40620.4</v>
      </c>
      <c r="J211" s="2" t="inlineStr">
        <is>
          <t>Branch Office</t>
        </is>
      </c>
      <c r="K211" s="2" t="inlineStr">
        <is>
          <t>Y</t>
        </is>
      </c>
    </row>
    <row r="212">
      <c r="A212" s="2" t="inlineStr">
        <is>
          <t>TXN100212</t>
        </is>
      </c>
      <c r="B212" s="2" t="inlineStr">
        <is>
          <t xml:space="preserve">  CUST0212 </t>
        </is>
      </c>
      <c r="C212" s="2" t="inlineStr">
        <is>
          <t>2026-06-01 22:04:00</t>
        </is>
      </c>
      <c r="D212" s="2" t="inlineStr">
        <is>
          <t>female</t>
        </is>
      </c>
      <c r="E212" s="2" t="n">
        <v>39</v>
      </c>
      <c r="F212" s="2" t="inlineStr">
        <is>
          <t>Savings</t>
        </is>
      </c>
      <c r="G212" s="2" t="inlineStr">
        <is>
          <t>GROCERIES</t>
        </is>
      </c>
      <c r="H212" s="2" t="inlineStr">
        <is>
          <t>$6351.63</t>
        </is>
      </c>
      <c r="I212" s="2" t="n">
        <v>25683.41</v>
      </c>
      <c r="J212" s="2" t="inlineStr">
        <is>
          <t xml:space="preserve">Mobile App </t>
        </is>
      </c>
      <c r="K212" s="2" t="inlineStr">
        <is>
          <t>N</t>
        </is>
      </c>
    </row>
    <row r="213">
      <c r="A213" s="2" t="inlineStr">
        <is>
          <t>TXN100213</t>
        </is>
      </c>
      <c r="B213" s="2" t="inlineStr">
        <is>
          <t xml:space="preserve">  CUST0213 </t>
        </is>
      </c>
      <c r="C213" s="2" t="inlineStr">
        <is>
          <t>2026-06-01 06:50:00</t>
        </is>
      </c>
      <c r="D213" s="2" t="inlineStr">
        <is>
          <t>Male</t>
        </is>
      </c>
      <c r="E213" s="2" t="n">
        <v>35</v>
      </c>
      <c r="F213" s="2" t="inlineStr">
        <is>
          <t>Checking</t>
        </is>
      </c>
      <c r="G213" s="2" t="inlineStr">
        <is>
          <t>groceries</t>
        </is>
      </c>
      <c r="H213" s="2" t="inlineStr">
        <is>
          <t>$2893.56</t>
        </is>
      </c>
      <c r="I213" s="2" t="n">
        <v>28827.73</v>
      </c>
      <c r="J213" s="2" t="inlineStr">
        <is>
          <t>ATM</t>
        </is>
      </c>
      <c r="K213" s="2" t="inlineStr">
        <is>
          <t>N</t>
        </is>
      </c>
    </row>
    <row r="214">
      <c r="A214" s="2" t="inlineStr">
        <is>
          <t>TXN100214</t>
        </is>
      </c>
      <c r="B214" s="2" t="inlineStr">
        <is>
          <t xml:space="preserve">  CUST0214 </t>
        </is>
      </c>
      <c r="C214" s="2" t="inlineStr">
        <is>
          <t>2026-06-01 17:08:00</t>
        </is>
      </c>
      <c r="D214" s="2" t="inlineStr">
        <is>
          <t>MALE</t>
        </is>
      </c>
      <c r="E214" s="2" t="n">
        <v>24</v>
      </c>
      <c r="F214" s="2" t="inlineStr">
        <is>
          <t>Checking</t>
        </is>
      </c>
      <c r="G214" s="2" t="inlineStr">
        <is>
          <t>Utilities</t>
        </is>
      </c>
      <c r="H214" s="2" t="inlineStr">
        <is>
          <t>$7996.76</t>
        </is>
      </c>
      <c r="I214" s="2" t="n">
        <v>36084.05</v>
      </c>
      <c r="J214" s="2" t="inlineStr">
        <is>
          <t>ATM</t>
        </is>
      </c>
      <c r="K214" s="2" t="inlineStr">
        <is>
          <t>Y</t>
        </is>
      </c>
    </row>
    <row r="215">
      <c r="A215" s="2" t="inlineStr">
        <is>
          <t>TXN100215</t>
        </is>
      </c>
      <c r="B215" s="2" t="inlineStr">
        <is>
          <t xml:space="preserve">  CUST0215 </t>
        </is>
      </c>
      <c r="C215" s="2" t="inlineStr">
        <is>
          <t>2026-06-01 18:04:00</t>
        </is>
      </c>
      <c r="D215" s="2" t="inlineStr">
        <is>
          <t>Male</t>
        </is>
      </c>
      <c r="E215" s="2" t="n">
        <v>40</v>
      </c>
      <c r="F215" s="2" t="inlineStr">
        <is>
          <t>Investment</t>
        </is>
      </c>
      <c r="G215" s="2" t="inlineStr">
        <is>
          <t>groceries</t>
        </is>
      </c>
      <c r="H215" s="2" t="inlineStr">
        <is>
          <t>$3605.3</t>
        </is>
      </c>
      <c r="I215" s="2" t="n">
        <v>34165.4</v>
      </c>
      <c r="J215" s="2" t="inlineStr">
        <is>
          <t>Branch Office</t>
        </is>
      </c>
      <c r="K215" s="2" t="inlineStr">
        <is>
          <t>N</t>
        </is>
      </c>
    </row>
    <row r="216">
      <c r="A216" s="2" t="inlineStr">
        <is>
          <t>TXN100216</t>
        </is>
      </c>
      <c r="B216" s="2" t="inlineStr">
        <is>
          <t xml:space="preserve">  CUST0216 </t>
        </is>
      </c>
      <c r="C216" s="2" t="inlineStr">
        <is>
          <t>2026-06-01 04:56:00</t>
        </is>
      </c>
      <c r="D216" s="2" t="inlineStr">
        <is>
          <t>Male</t>
        </is>
      </c>
      <c r="E216" s="2" t="n">
        <v>69</v>
      </c>
      <c r="F216" s="2" t="inlineStr">
        <is>
          <t>Savings</t>
        </is>
      </c>
      <c r="G216" s="2" t="inlineStr">
        <is>
          <t>Utilities</t>
        </is>
      </c>
      <c r="H216" s="2" t="inlineStr">
        <is>
          <t>$4027.88</t>
        </is>
      </c>
      <c r="I216" s="2" t="n">
        <v>43476.48</v>
      </c>
      <c r="J216" s="2" t="inlineStr">
        <is>
          <t xml:space="preserve">Mobile App </t>
        </is>
      </c>
      <c r="K216" s="2" t="inlineStr">
        <is>
          <t>N</t>
        </is>
      </c>
    </row>
    <row r="217">
      <c r="A217" s="2" t="inlineStr">
        <is>
          <t>TXN100217</t>
        </is>
      </c>
      <c r="B217" s="2" t="inlineStr">
        <is>
          <t xml:space="preserve">  CUST0217 </t>
        </is>
      </c>
      <c r="C217" s="2" t="inlineStr">
        <is>
          <t>2026-06-01 16:09:00</t>
        </is>
      </c>
      <c r="D217" s="2" t="inlineStr">
        <is>
          <t>female</t>
        </is>
      </c>
      <c r="E217" s="2" t="n">
        <v>30</v>
      </c>
      <c r="F217" s="2" t="inlineStr">
        <is>
          <t>Savings</t>
        </is>
      </c>
      <c r="G217" s="2" t="inlineStr">
        <is>
          <t>Entertainment</t>
        </is>
      </c>
      <c r="H217" s="2" t="inlineStr">
        <is>
          <t>$7478.56</t>
        </is>
      </c>
      <c r="I217" s="2" t="n">
        <v>11660.78</v>
      </c>
      <c r="J217" s="2" t="inlineStr">
        <is>
          <t>Branch Office</t>
        </is>
      </c>
      <c r="K217" s="2" t="inlineStr">
        <is>
          <t>Y</t>
        </is>
      </c>
    </row>
    <row r="218">
      <c r="A218" s="2" t="inlineStr">
        <is>
          <t>TXN100218</t>
        </is>
      </c>
      <c r="B218" s="2" t="inlineStr">
        <is>
          <t xml:space="preserve">  CUST0218 </t>
        </is>
      </c>
      <c r="C218" s="2" t="inlineStr">
        <is>
          <t>2026-06-01 08:12:00</t>
        </is>
      </c>
      <c r="D218" s="2" t="inlineStr">
        <is>
          <t>female</t>
        </is>
      </c>
      <c r="E218" s="2" t="n">
        <v>28</v>
      </c>
      <c r="F218" s="2" t="inlineStr">
        <is>
          <t>Investment</t>
        </is>
      </c>
      <c r="G218" s="2" t="inlineStr">
        <is>
          <t>Entertainment</t>
        </is>
      </c>
      <c r="H218" s="2" t="inlineStr">
        <is>
          <t>$4919.28</t>
        </is>
      </c>
      <c r="I218" s="2" t="n">
        <v>5124.71</v>
      </c>
      <c r="J218" s="2" t="inlineStr">
        <is>
          <t>Online Banking</t>
        </is>
      </c>
      <c r="K218" s="2" t="inlineStr">
        <is>
          <t>N</t>
        </is>
      </c>
    </row>
    <row r="219">
      <c r="A219" s="2" t="inlineStr">
        <is>
          <t>TXN100219</t>
        </is>
      </c>
      <c r="B219" s="2" t="inlineStr">
        <is>
          <t xml:space="preserve">  CUST0219 </t>
        </is>
      </c>
      <c r="C219" s="2" t="inlineStr">
        <is>
          <t>2026-06-01 18:37:00</t>
        </is>
      </c>
      <c r="D219" s="2" t="inlineStr">
        <is>
          <t>Male</t>
        </is>
      </c>
      <c r="E219" s="2" t="n">
        <v>30</v>
      </c>
      <c r="F219" s="2" t="inlineStr">
        <is>
          <t>Investment</t>
        </is>
      </c>
      <c r="G219" s="2" t="inlineStr">
        <is>
          <t>Travel</t>
        </is>
      </c>
      <c r="H219" s="2" t="inlineStr">
        <is>
          <t>$5767.86</t>
        </is>
      </c>
      <c r="I219" s="2" t="n">
        <v>30454.38</v>
      </c>
      <c r="J219" s="2" t="inlineStr">
        <is>
          <t xml:space="preserve">Mobile App </t>
        </is>
      </c>
      <c r="K219" s="2" t="inlineStr">
        <is>
          <t>N</t>
        </is>
      </c>
    </row>
    <row r="220">
      <c r="A220" s="2" t="inlineStr">
        <is>
          <t>TXN100220</t>
        </is>
      </c>
      <c r="B220" s="2" t="inlineStr">
        <is>
          <t xml:space="preserve">  CUST0220 </t>
        </is>
      </c>
      <c r="C220" s="2" t="inlineStr">
        <is>
          <t>2026-06-01 00:05:00</t>
        </is>
      </c>
      <c r="D220" s="2" t="inlineStr">
        <is>
          <t>M</t>
        </is>
      </c>
      <c r="E220" s="2" t="n">
        <v>61</v>
      </c>
      <c r="F220" s="2" t="inlineStr">
        <is>
          <t>Investment</t>
        </is>
      </c>
      <c r="G220" s="2" t="inlineStr">
        <is>
          <t>Entertainment</t>
        </is>
      </c>
      <c r="H220" s="2" t="inlineStr">
        <is>
          <t>$5212.53</t>
        </is>
      </c>
      <c r="I220" s="2" t="n">
        <v>38464.47</v>
      </c>
      <c r="J220" s="2" t="inlineStr">
        <is>
          <t>ATM</t>
        </is>
      </c>
      <c r="K220" s="2" t="inlineStr">
        <is>
          <t>N</t>
        </is>
      </c>
    </row>
    <row r="221">
      <c r="A221" s="2" t="inlineStr">
        <is>
          <t>TXN100221</t>
        </is>
      </c>
      <c r="B221" s="2" t="inlineStr">
        <is>
          <t xml:space="preserve">  CUST0221 </t>
        </is>
      </c>
      <c r="C221" s="2" t="inlineStr">
        <is>
          <t>2026-06-01 19:40:00</t>
        </is>
      </c>
      <c r="D221" s="2" t="inlineStr">
        <is>
          <t>M</t>
        </is>
      </c>
      <c r="E221" s="2" t="n">
        <v>51</v>
      </c>
      <c r="F221" s="2" t="inlineStr">
        <is>
          <t>Investment</t>
        </is>
      </c>
      <c r="G221" s="2" t="inlineStr">
        <is>
          <t>Travel</t>
        </is>
      </c>
      <c r="H221" s="2" t="inlineStr">
        <is>
          <t>$2324.48</t>
        </is>
      </c>
      <c r="I221" s="2" t="n">
        <v>47854.18</v>
      </c>
      <c r="J221" s="2" t="inlineStr">
        <is>
          <t>ATM</t>
        </is>
      </c>
      <c r="K221" s="2" t="inlineStr">
        <is>
          <t>N</t>
        </is>
      </c>
    </row>
    <row r="222">
      <c r="A222" s="2" t="inlineStr">
        <is>
          <t>TXN100222</t>
        </is>
      </c>
      <c r="B222" s="2" t="inlineStr">
        <is>
          <t xml:space="preserve">  CUST0222 </t>
        </is>
      </c>
      <c r="C222" s="2" t="inlineStr">
        <is>
          <t>2026-06-01 07:51:00</t>
        </is>
      </c>
      <c r="D222" s="3" t="inlineStr"/>
      <c r="E222" s="2" t="n">
        <v>39</v>
      </c>
      <c r="F222" s="2" t="inlineStr">
        <is>
          <t>Checking</t>
        </is>
      </c>
      <c r="G222" s="2" t="inlineStr">
        <is>
          <t>groceries</t>
        </is>
      </c>
      <c r="H222" s="2" t="inlineStr">
        <is>
          <t>$5512.02</t>
        </is>
      </c>
      <c r="I222" s="2" t="n">
        <v>8324.98</v>
      </c>
      <c r="J222" s="2" t="inlineStr">
        <is>
          <t>ATM</t>
        </is>
      </c>
      <c r="K222" s="2" t="inlineStr">
        <is>
          <t>N</t>
        </is>
      </c>
    </row>
    <row r="223">
      <c r="A223" s="2" t="inlineStr">
        <is>
          <t>TXN100223</t>
        </is>
      </c>
      <c r="B223" s="2" t="inlineStr">
        <is>
          <t xml:space="preserve">  CUST0223 </t>
        </is>
      </c>
      <c r="C223" s="2" t="inlineStr">
        <is>
          <t>2026-06-01 15:29:00</t>
        </is>
      </c>
      <c r="D223" s="2" t="inlineStr">
        <is>
          <t>F</t>
        </is>
      </c>
      <c r="E223" s="2" t="n">
        <v>41</v>
      </c>
      <c r="F223" s="2" t="inlineStr">
        <is>
          <t>Investment</t>
        </is>
      </c>
      <c r="G223" s="2" t="inlineStr">
        <is>
          <t>GROCERIES</t>
        </is>
      </c>
      <c r="H223" s="2" t="inlineStr">
        <is>
          <t>$2507.53</t>
        </is>
      </c>
      <c r="I223" s="2" t="n">
        <v>36058.96</v>
      </c>
      <c r="J223" s="2" t="inlineStr">
        <is>
          <t>Branch Office</t>
        </is>
      </c>
      <c r="K223" s="2" t="inlineStr">
        <is>
          <t>N</t>
        </is>
      </c>
    </row>
    <row r="224">
      <c r="A224" s="2" t="inlineStr">
        <is>
          <t>TXN100224</t>
        </is>
      </c>
      <c r="B224" s="2" t="inlineStr">
        <is>
          <t xml:space="preserve">  CUST0224 </t>
        </is>
      </c>
      <c r="C224" s="2" t="inlineStr">
        <is>
          <t>2026-06-01 12:08:00</t>
        </is>
      </c>
      <c r="D224" s="2" t="inlineStr">
        <is>
          <t>Female</t>
        </is>
      </c>
      <c r="E224" s="2" t="n">
        <v>52</v>
      </c>
      <c r="F224" s="2" t="inlineStr">
        <is>
          <t>Investment</t>
        </is>
      </c>
      <c r="G224" s="2" t="inlineStr">
        <is>
          <t>groceries</t>
        </is>
      </c>
      <c r="H224" s="2" t="inlineStr">
        <is>
          <t>$2559.74</t>
        </is>
      </c>
      <c r="I224" s="2" t="n">
        <v>23590.39</v>
      </c>
      <c r="J224" s="2" t="inlineStr">
        <is>
          <t>Branch Office</t>
        </is>
      </c>
      <c r="K224" s="2" t="inlineStr">
        <is>
          <t>N</t>
        </is>
      </c>
    </row>
    <row r="225">
      <c r="A225" s="2" t="inlineStr">
        <is>
          <t>TXN100225</t>
        </is>
      </c>
      <c r="B225" s="2" t="inlineStr">
        <is>
          <t xml:space="preserve">  CUST0225 </t>
        </is>
      </c>
      <c r="C225" s="2" t="inlineStr">
        <is>
          <t>2026-06-01 14:15:00</t>
        </is>
      </c>
      <c r="D225" s="2" t="inlineStr">
        <is>
          <t>Male</t>
        </is>
      </c>
      <c r="E225" s="2" t="n">
        <v>26</v>
      </c>
      <c r="F225" s="2" t="inlineStr">
        <is>
          <t>Savings</t>
        </is>
      </c>
      <c r="G225" s="2" t="inlineStr">
        <is>
          <t>Entertainment</t>
        </is>
      </c>
      <c r="H225" s="2" t="inlineStr">
        <is>
          <t>$7563.63</t>
        </is>
      </c>
      <c r="I225" s="2" t="n">
        <v>43276.11</v>
      </c>
      <c r="J225" s="2" t="inlineStr">
        <is>
          <t>ATM</t>
        </is>
      </c>
      <c r="K225" s="2" t="inlineStr">
        <is>
          <t>N</t>
        </is>
      </c>
    </row>
    <row r="226">
      <c r="A226" s="2" t="inlineStr">
        <is>
          <t>TXN100226</t>
        </is>
      </c>
      <c r="B226" s="2" t="inlineStr">
        <is>
          <t xml:space="preserve">  CUST0226 </t>
        </is>
      </c>
      <c r="C226" s="2" t="inlineStr">
        <is>
          <t>2026-06-01 05:52:00</t>
        </is>
      </c>
      <c r="D226" s="2" t="inlineStr">
        <is>
          <t>Female</t>
        </is>
      </c>
      <c r="E226" s="2" t="n">
        <v>56</v>
      </c>
      <c r="F226" s="2" t="inlineStr">
        <is>
          <t>Investment</t>
        </is>
      </c>
      <c r="G226" s="2" t="inlineStr">
        <is>
          <t>Entertainment</t>
        </is>
      </c>
      <c r="H226" s="2" t="inlineStr">
        <is>
          <t>$1526.77</t>
        </is>
      </c>
      <c r="I226" s="2" t="n">
        <v>8387.450000000001</v>
      </c>
      <c r="J226" s="2" t="inlineStr">
        <is>
          <t>ATM</t>
        </is>
      </c>
      <c r="K226" s="2" t="inlineStr">
        <is>
          <t>N</t>
        </is>
      </c>
    </row>
    <row r="227">
      <c r="A227" s="2" t="inlineStr">
        <is>
          <t>TXN100227</t>
        </is>
      </c>
      <c r="B227" s="2" t="inlineStr">
        <is>
          <t xml:space="preserve">  CUST0227 </t>
        </is>
      </c>
      <c r="C227" s="2" t="inlineStr">
        <is>
          <t>2026-06-01 15:56:00</t>
        </is>
      </c>
      <c r="D227" s="2" t="inlineStr">
        <is>
          <t>female</t>
        </is>
      </c>
      <c r="E227" s="2" t="n">
        <v>51</v>
      </c>
      <c r="F227" s="2" t="inlineStr">
        <is>
          <t>Savings</t>
        </is>
      </c>
      <c r="G227" s="2" t="inlineStr">
        <is>
          <t>groceries</t>
        </is>
      </c>
      <c r="H227" s="2" t="inlineStr">
        <is>
          <t>$7562.41</t>
        </is>
      </c>
      <c r="I227" s="2" t="n">
        <v>25519.5</v>
      </c>
      <c r="J227" s="2" t="inlineStr">
        <is>
          <t>Online Banking</t>
        </is>
      </c>
      <c r="K227" s="2" t="inlineStr">
        <is>
          <t>N</t>
        </is>
      </c>
    </row>
    <row r="228">
      <c r="A228" s="2" t="inlineStr">
        <is>
          <t>TXN100228</t>
        </is>
      </c>
      <c r="B228" s="2" t="inlineStr">
        <is>
          <t xml:space="preserve">  CUST0228 </t>
        </is>
      </c>
      <c r="C228" s="2" t="inlineStr">
        <is>
          <t>2026-06-01 11:03:00</t>
        </is>
      </c>
      <c r="D228" s="2" t="inlineStr">
        <is>
          <t>M</t>
        </is>
      </c>
      <c r="E228" s="2" t="n">
        <v>38</v>
      </c>
      <c r="F228" s="2" t="inlineStr">
        <is>
          <t>Checking</t>
        </is>
      </c>
      <c r="G228" s="2" t="inlineStr">
        <is>
          <t>Travel</t>
        </is>
      </c>
      <c r="H228" s="2" t="inlineStr">
        <is>
          <t>$7059.89</t>
        </is>
      </c>
      <c r="I228" s="2" t="n">
        <v>32885.87</v>
      </c>
      <c r="J228" s="2" t="inlineStr">
        <is>
          <t>ATM</t>
        </is>
      </c>
      <c r="K228" s="2" t="inlineStr">
        <is>
          <t>N</t>
        </is>
      </c>
    </row>
    <row r="229">
      <c r="A229" s="2" t="inlineStr">
        <is>
          <t>TXN100229</t>
        </is>
      </c>
      <c r="B229" s="2" t="inlineStr">
        <is>
          <t xml:space="preserve">  CUST0229 </t>
        </is>
      </c>
      <c r="C229" s="2" t="inlineStr">
        <is>
          <t>2026-06-01 00:54:00</t>
        </is>
      </c>
      <c r="D229" s="2" t="inlineStr">
        <is>
          <t>MALE</t>
        </is>
      </c>
      <c r="E229" s="2" t="n">
        <v>47</v>
      </c>
      <c r="F229" s="2" t="inlineStr">
        <is>
          <t>Savings</t>
        </is>
      </c>
      <c r="G229" s="2" t="inlineStr">
        <is>
          <t>Entertainment</t>
        </is>
      </c>
      <c r="H229" s="2" t="inlineStr">
        <is>
          <t>$5822.79</t>
        </is>
      </c>
      <c r="I229" s="2" t="n">
        <v>38310.91</v>
      </c>
      <c r="J229" s="2" t="inlineStr">
        <is>
          <t>Branch Office</t>
        </is>
      </c>
      <c r="K229" s="2" t="inlineStr">
        <is>
          <t>N</t>
        </is>
      </c>
    </row>
    <row r="230">
      <c r="A230" s="2" t="inlineStr">
        <is>
          <t>TXN100230</t>
        </is>
      </c>
      <c r="B230" s="2" t="inlineStr">
        <is>
          <t xml:space="preserve">  CUST0230 </t>
        </is>
      </c>
      <c r="C230" s="2" t="inlineStr">
        <is>
          <t>2026-06-01 01:25:00</t>
        </is>
      </c>
      <c r="D230" s="2" t="inlineStr">
        <is>
          <t>M</t>
        </is>
      </c>
      <c r="E230" s="2" t="n">
        <v>56</v>
      </c>
      <c r="F230" s="2" t="inlineStr">
        <is>
          <t>Investment</t>
        </is>
      </c>
      <c r="G230" s="2" t="inlineStr">
        <is>
          <t>GROCERIES</t>
        </is>
      </c>
      <c r="H230" s="2" t="inlineStr">
        <is>
          <t>$2906.56</t>
        </is>
      </c>
      <c r="I230" s="2" t="n">
        <v>14785.78</v>
      </c>
      <c r="J230" s="2" t="inlineStr">
        <is>
          <t>ATM</t>
        </is>
      </c>
      <c r="K230" s="2" t="inlineStr">
        <is>
          <t>N</t>
        </is>
      </c>
    </row>
    <row r="231">
      <c r="A231" s="2" t="inlineStr">
        <is>
          <t>TXN100231</t>
        </is>
      </c>
      <c r="B231" s="2" t="inlineStr">
        <is>
          <t xml:space="preserve">  CUST0231 </t>
        </is>
      </c>
      <c r="C231" s="2" t="inlineStr">
        <is>
          <t>2026-06-01 16:28:00</t>
        </is>
      </c>
      <c r="D231" s="2" t="inlineStr">
        <is>
          <t>female</t>
        </is>
      </c>
      <c r="E231" s="2" t="n">
        <v>72</v>
      </c>
      <c r="F231" s="2" t="inlineStr">
        <is>
          <t>Investment</t>
        </is>
      </c>
      <c r="G231" s="2" t="inlineStr">
        <is>
          <t>Travel</t>
        </is>
      </c>
      <c r="H231" s="2" t="inlineStr">
        <is>
          <t>$959.3</t>
        </is>
      </c>
      <c r="I231" s="2" t="n">
        <v>48766.6</v>
      </c>
      <c r="J231" s="2" t="inlineStr">
        <is>
          <t>ATM</t>
        </is>
      </c>
      <c r="K231" s="2" t="inlineStr">
        <is>
          <t>N</t>
        </is>
      </c>
    </row>
    <row r="232">
      <c r="A232" s="2" t="inlineStr">
        <is>
          <t>TXN100232</t>
        </is>
      </c>
      <c r="B232" s="2" t="inlineStr">
        <is>
          <t xml:space="preserve">  CUST0232 </t>
        </is>
      </c>
      <c r="C232" s="2" t="inlineStr">
        <is>
          <t>2026-06-01 11:50:00</t>
        </is>
      </c>
      <c r="D232" s="2" t="inlineStr">
        <is>
          <t>Female</t>
        </is>
      </c>
      <c r="E232" s="2" t="n">
        <v>55</v>
      </c>
      <c r="F232" s="2" t="inlineStr">
        <is>
          <t>Checking</t>
        </is>
      </c>
      <c r="G232" s="2" t="inlineStr">
        <is>
          <t>GROCERIES</t>
        </is>
      </c>
      <c r="H232" s="2" t="inlineStr">
        <is>
          <t>$1600.47</t>
        </is>
      </c>
      <c r="I232" s="2" t="n">
        <v>25701.56</v>
      </c>
      <c r="J232" s="2" t="inlineStr">
        <is>
          <t xml:space="preserve">Mobile App </t>
        </is>
      </c>
      <c r="K232" s="2" t="inlineStr">
        <is>
          <t>N</t>
        </is>
      </c>
    </row>
    <row r="233">
      <c r="A233" s="2" t="inlineStr">
        <is>
          <t>TXN100233</t>
        </is>
      </c>
      <c r="B233" s="2" t="inlineStr">
        <is>
          <t xml:space="preserve">  CUST0233 </t>
        </is>
      </c>
      <c r="C233" s="2" t="inlineStr">
        <is>
          <t>2026-06-01 01:02:00</t>
        </is>
      </c>
      <c r="D233" s="2" t="inlineStr">
        <is>
          <t>Male</t>
        </is>
      </c>
      <c r="E233" s="2" t="n">
        <v>65</v>
      </c>
      <c r="F233" s="2" t="inlineStr">
        <is>
          <t>Checking</t>
        </is>
      </c>
      <c r="G233" s="2" t="inlineStr">
        <is>
          <t>Utilities</t>
        </is>
      </c>
      <c r="H233" s="2" t="inlineStr">
        <is>
          <t>$4159.47</t>
        </is>
      </c>
      <c r="I233" s="2" t="n">
        <v>7872.56</v>
      </c>
      <c r="J233" s="2" t="inlineStr">
        <is>
          <t>Online Banking</t>
        </is>
      </c>
      <c r="K233" s="2" t="inlineStr">
        <is>
          <t>N</t>
        </is>
      </c>
    </row>
    <row r="234">
      <c r="A234" s="2" t="inlineStr">
        <is>
          <t>TXN100234</t>
        </is>
      </c>
      <c r="B234" s="2" t="inlineStr">
        <is>
          <t xml:space="preserve">  CUST0234 </t>
        </is>
      </c>
      <c r="C234" s="2" t="inlineStr">
        <is>
          <t>2026-06-01 10:59:00</t>
        </is>
      </c>
      <c r="D234" s="2" t="inlineStr">
        <is>
          <t>Female</t>
        </is>
      </c>
      <c r="E234" s="2" t="n">
        <v>30</v>
      </c>
      <c r="F234" s="2" t="inlineStr">
        <is>
          <t>Checking</t>
        </is>
      </c>
      <c r="G234" s="2" t="inlineStr">
        <is>
          <t>Travel</t>
        </is>
      </c>
      <c r="H234" s="2" t="inlineStr">
        <is>
          <t>$5917.16</t>
        </is>
      </c>
      <c r="I234" s="2" t="n">
        <v>15312.1</v>
      </c>
      <c r="J234" s="2" t="inlineStr">
        <is>
          <t>Branch Office</t>
        </is>
      </c>
      <c r="K234" s="2" t="inlineStr">
        <is>
          <t>N</t>
        </is>
      </c>
    </row>
    <row r="235">
      <c r="A235" s="2" t="inlineStr">
        <is>
          <t>TXN100235</t>
        </is>
      </c>
      <c r="B235" s="2" t="inlineStr">
        <is>
          <t xml:space="preserve">  CUST0235 </t>
        </is>
      </c>
      <c r="C235" s="2" t="inlineStr">
        <is>
          <t>2026-06-01 16:53:00</t>
        </is>
      </c>
      <c r="D235" s="2" t="n"/>
      <c r="E235" s="2" t="n">
        <v>65</v>
      </c>
      <c r="F235" s="2" t="inlineStr">
        <is>
          <t>Investment</t>
        </is>
      </c>
      <c r="G235" s="2" t="inlineStr">
        <is>
          <t>Entertainment</t>
        </is>
      </c>
      <c r="H235" s="2" t="inlineStr">
        <is>
          <t>$3804.39</t>
        </is>
      </c>
      <c r="I235" s="2" t="n">
        <v>1323.53</v>
      </c>
      <c r="J235" s="2" t="inlineStr">
        <is>
          <t>Branch Office</t>
        </is>
      </c>
      <c r="K235" s="2" t="inlineStr">
        <is>
          <t>N</t>
        </is>
      </c>
    </row>
    <row r="236">
      <c r="A236" s="2" t="inlineStr">
        <is>
          <t>TXN100236</t>
        </is>
      </c>
      <c r="B236" s="2" t="inlineStr">
        <is>
          <t xml:space="preserve">  CUST0236 </t>
        </is>
      </c>
      <c r="C236" s="2" t="inlineStr">
        <is>
          <t>2026-06-01 21:07:00</t>
        </is>
      </c>
      <c r="D236" s="3" t="inlineStr"/>
      <c r="E236" s="2" t="n">
        <v>57</v>
      </c>
      <c r="F236" s="2" t="inlineStr">
        <is>
          <t>Checking</t>
        </is>
      </c>
      <c r="G236" s="2" t="inlineStr">
        <is>
          <t>groceries</t>
        </is>
      </c>
      <c r="H236" s="2" t="inlineStr">
        <is>
          <t>$4779.31</t>
        </is>
      </c>
      <c r="I236" s="2" t="n">
        <v>13643.76</v>
      </c>
      <c r="J236" s="2" t="inlineStr">
        <is>
          <t>Online Banking</t>
        </is>
      </c>
      <c r="K236" s="2" t="inlineStr">
        <is>
          <t>N</t>
        </is>
      </c>
    </row>
    <row r="237">
      <c r="A237" s="2" t="inlineStr">
        <is>
          <t>TXN100237</t>
        </is>
      </c>
      <c r="B237" s="2" t="inlineStr">
        <is>
          <t xml:space="preserve">  CUST0237 </t>
        </is>
      </c>
      <c r="C237" s="2" t="inlineStr">
        <is>
          <t>2026-06-01 23:03:00</t>
        </is>
      </c>
      <c r="D237" s="2" t="n"/>
      <c r="E237" s="2" t="n">
        <v>30</v>
      </c>
      <c r="F237" s="2" t="inlineStr">
        <is>
          <t>Investment</t>
        </is>
      </c>
      <c r="G237" s="2" t="inlineStr">
        <is>
          <t>Travel</t>
        </is>
      </c>
      <c r="H237" s="2" t="inlineStr">
        <is>
          <t>$6199.1</t>
        </is>
      </c>
      <c r="I237" s="2" t="n">
        <v>19319.42</v>
      </c>
      <c r="J237" s="2" t="inlineStr">
        <is>
          <t>Online Banking</t>
        </is>
      </c>
      <c r="K237" s="2" t="inlineStr">
        <is>
          <t>N</t>
        </is>
      </c>
    </row>
    <row r="238">
      <c r="A238" s="2" t="inlineStr">
        <is>
          <t>TXN100238</t>
        </is>
      </c>
      <c r="B238" s="2" t="inlineStr">
        <is>
          <t xml:space="preserve">  CUST0238 </t>
        </is>
      </c>
      <c r="C238" s="2" t="inlineStr">
        <is>
          <t>2026-06-01 01:36:00</t>
        </is>
      </c>
      <c r="D238" s="2" t="inlineStr">
        <is>
          <t>MALE</t>
        </is>
      </c>
      <c r="E238" s="2" t="n">
        <v>32</v>
      </c>
      <c r="F238" s="2" t="inlineStr">
        <is>
          <t>Savings</t>
        </is>
      </c>
      <c r="G238" s="2" t="inlineStr">
        <is>
          <t>Utilities</t>
        </is>
      </c>
      <c r="H238" s="2" t="inlineStr">
        <is>
          <t>$2516.4</t>
        </is>
      </c>
      <c r="I238" s="2" t="n">
        <v>7995.85</v>
      </c>
      <c r="J238" s="2" t="inlineStr">
        <is>
          <t>Online Banking</t>
        </is>
      </c>
      <c r="K238" s="2" t="inlineStr">
        <is>
          <t>N</t>
        </is>
      </c>
    </row>
    <row r="239">
      <c r="A239" s="2" t="inlineStr">
        <is>
          <t>TXN100239</t>
        </is>
      </c>
      <c r="B239" s="2" t="inlineStr">
        <is>
          <t xml:space="preserve">  CUST0239 </t>
        </is>
      </c>
      <c r="C239" s="2" t="inlineStr">
        <is>
          <t>2026-06-01 13:32:00</t>
        </is>
      </c>
      <c r="D239" s="2" t="n"/>
      <c r="E239" s="2" t="n">
        <v>75</v>
      </c>
      <c r="F239" s="2" t="inlineStr">
        <is>
          <t>Investment</t>
        </is>
      </c>
      <c r="G239" s="2" t="inlineStr">
        <is>
          <t>groceries</t>
        </is>
      </c>
      <c r="H239" s="2" t="inlineStr">
        <is>
          <t>$5649.14</t>
        </is>
      </c>
      <c r="I239" s="2" t="n">
        <v>26174.82</v>
      </c>
      <c r="J239" s="2" t="inlineStr">
        <is>
          <t>Branch Office</t>
        </is>
      </c>
      <c r="K239" s="2" t="inlineStr">
        <is>
          <t>N</t>
        </is>
      </c>
    </row>
    <row r="240">
      <c r="A240" s="2" t="inlineStr">
        <is>
          <t>TXN100240</t>
        </is>
      </c>
      <c r="B240" s="2" t="inlineStr">
        <is>
          <t xml:space="preserve">  CUST0240 </t>
        </is>
      </c>
      <c r="C240" s="2" t="inlineStr">
        <is>
          <t>2026-06-01 21:30:00</t>
        </is>
      </c>
      <c r="D240" s="3" t="inlineStr"/>
      <c r="E240" s="2" t="n">
        <v>40</v>
      </c>
      <c r="F240" s="2" t="inlineStr">
        <is>
          <t>Savings</t>
        </is>
      </c>
      <c r="G240" s="2" t="inlineStr">
        <is>
          <t>Utilities</t>
        </is>
      </c>
      <c r="H240" s="2" t="inlineStr">
        <is>
          <t>$7297.87</t>
        </is>
      </c>
      <c r="I240" s="2" t="n">
        <v>17445.19</v>
      </c>
      <c r="J240" s="2" t="inlineStr">
        <is>
          <t>Branch Office</t>
        </is>
      </c>
      <c r="K240" s="2" t="inlineStr">
        <is>
          <t>Y</t>
        </is>
      </c>
    </row>
    <row r="241">
      <c r="A241" s="2" t="inlineStr">
        <is>
          <t>TXN100241</t>
        </is>
      </c>
      <c r="B241" s="2" t="inlineStr">
        <is>
          <t xml:space="preserve">  CUST0241 </t>
        </is>
      </c>
      <c r="C241" s="2" t="inlineStr">
        <is>
          <t>2026-06-01 23:43:00</t>
        </is>
      </c>
      <c r="D241" s="2" t="inlineStr">
        <is>
          <t>female</t>
        </is>
      </c>
      <c r="E241" s="2" t="n">
        <v>59</v>
      </c>
      <c r="F241" s="2" t="inlineStr">
        <is>
          <t>Checking</t>
        </is>
      </c>
      <c r="G241" s="2" t="inlineStr">
        <is>
          <t>GROCERIES</t>
        </is>
      </c>
      <c r="H241" s="2" t="inlineStr">
        <is>
          <t>$7659.13</t>
        </is>
      </c>
      <c r="I241" s="2" t="n">
        <v>14310.82</v>
      </c>
      <c r="J241" s="2" t="inlineStr">
        <is>
          <t>Branch Office</t>
        </is>
      </c>
      <c r="K241" s="2" t="inlineStr">
        <is>
          <t>N</t>
        </is>
      </c>
    </row>
    <row r="242">
      <c r="A242" s="2" t="inlineStr">
        <is>
          <t>TXN100242</t>
        </is>
      </c>
      <c r="B242" s="2" t="inlineStr">
        <is>
          <t xml:space="preserve">  CUST0242 </t>
        </is>
      </c>
      <c r="C242" s="2" t="inlineStr">
        <is>
          <t>2026-06-01 09:49:00</t>
        </is>
      </c>
      <c r="D242" s="2" t="inlineStr">
        <is>
          <t>female</t>
        </is>
      </c>
      <c r="E242" s="2" t="n">
        <v>65</v>
      </c>
      <c r="F242" s="2" t="inlineStr">
        <is>
          <t>Savings</t>
        </is>
      </c>
      <c r="G242" s="2" t="inlineStr">
        <is>
          <t>Utilities</t>
        </is>
      </c>
      <c r="H242" s="2" t="inlineStr">
        <is>
          <t>$2543.16</t>
        </is>
      </c>
      <c r="I242" s="2" t="n">
        <v>17765.76</v>
      </c>
      <c r="J242" s="2" t="inlineStr">
        <is>
          <t>Branch Office</t>
        </is>
      </c>
      <c r="K242" s="2" t="inlineStr">
        <is>
          <t>N</t>
        </is>
      </c>
    </row>
    <row r="243">
      <c r="A243" s="2" t="inlineStr">
        <is>
          <t>TXN100243</t>
        </is>
      </c>
      <c r="B243" s="2" t="inlineStr">
        <is>
          <t xml:space="preserve">  CUST0243 </t>
        </is>
      </c>
      <c r="C243" s="2" t="inlineStr">
        <is>
          <t>2026-06-01 09:07:00</t>
        </is>
      </c>
      <c r="D243" s="3" t="inlineStr"/>
      <c r="E243" s="2" t="n">
        <v>45</v>
      </c>
      <c r="F243" s="2" t="inlineStr">
        <is>
          <t>Checking</t>
        </is>
      </c>
      <c r="G243" s="2" t="inlineStr">
        <is>
          <t>GROCERIES</t>
        </is>
      </c>
      <c r="H243" s="2" t="inlineStr">
        <is>
          <t>$2330.72</t>
        </is>
      </c>
      <c r="I243" s="2" t="n">
        <v>14737.7</v>
      </c>
      <c r="J243" s="2" t="inlineStr">
        <is>
          <t xml:space="preserve">Mobile App </t>
        </is>
      </c>
      <c r="K243" s="2" t="inlineStr">
        <is>
          <t>N</t>
        </is>
      </c>
    </row>
    <row r="244">
      <c r="A244" s="2" t="inlineStr">
        <is>
          <t>TXN100244</t>
        </is>
      </c>
      <c r="B244" s="2" t="inlineStr">
        <is>
          <t xml:space="preserve">  CUST0244 </t>
        </is>
      </c>
      <c r="C244" s="2" t="inlineStr">
        <is>
          <t>2026-06-01 11:59:00</t>
        </is>
      </c>
      <c r="D244" s="2" t="n"/>
      <c r="E244" s="2" t="n">
        <v>61</v>
      </c>
      <c r="F244" s="2" t="inlineStr">
        <is>
          <t>Checking</t>
        </is>
      </c>
      <c r="G244" s="2" t="inlineStr">
        <is>
          <t>Utilities</t>
        </is>
      </c>
      <c r="H244" s="2" t="inlineStr">
        <is>
          <t>$1719.75</t>
        </is>
      </c>
      <c r="I244" s="2" t="n">
        <v>41483.61</v>
      </c>
      <c r="J244" s="2" t="inlineStr">
        <is>
          <t>Branch Office</t>
        </is>
      </c>
      <c r="K244" s="2" t="inlineStr">
        <is>
          <t>N</t>
        </is>
      </c>
    </row>
    <row r="245">
      <c r="A245" s="2" t="inlineStr">
        <is>
          <t>TXN100245</t>
        </is>
      </c>
      <c r="B245" s="2" t="inlineStr">
        <is>
          <t xml:space="preserve">  CUST0245 </t>
        </is>
      </c>
      <c r="C245" s="2" t="inlineStr">
        <is>
          <t>2026-06-01 17:44:00</t>
        </is>
      </c>
      <c r="D245" s="2" t="inlineStr">
        <is>
          <t>female</t>
        </is>
      </c>
      <c r="E245" s="2" t="n">
        <v>28</v>
      </c>
      <c r="F245" s="2" t="inlineStr">
        <is>
          <t>Savings</t>
        </is>
      </c>
      <c r="G245" s="2" t="inlineStr">
        <is>
          <t>Travel</t>
        </is>
      </c>
      <c r="H245" s="2" t="inlineStr">
        <is>
          <t>$5929.72</t>
        </is>
      </c>
      <c r="I245" s="2" t="n">
        <v>12344.46</v>
      </c>
      <c r="J245" s="2" t="inlineStr">
        <is>
          <t xml:space="preserve">Mobile App </t>
        </is>
      </c>
      <c r="K245" s="2" t="inlineStr">
        <is>
          <t>N</t>
        </is>
      </c>
    </row>
    <row r="246">
      <c r="A246" s="2" t="inlineStr">
        <is>
          <t>TXN100246</t>
        </is>
      </c>
      <c r="B246" s="2" t="inlineStr">
        <is>
          <t xml:space="preserve">  CUST0246 </t>
        </is>
      </c>
      <c r="C246" s="2" t="inlineStr">
        <is>
          <t>2026-06-01 21:57:00</t>
        </is>
      </c>
      <c r="D246" s="2" t="inlineStr">
        <is>
          <t>F</t>
        </is>
      </c>
      <c r="E246" s="2" t="n">
        <v>60</v>
      </c>
      <c r="F246" s="2" t="inlineStr">
        <is>
          <t>Savings</t>
        </is>
      </c>
      <c r="G246" s="2" t="inlineStr">
        <is>
          <t>groceries</t>
        </is>
      </c>
      <c r="H246" s="2" t="inlineStr">
        <is>
          <t>$810.58</t>
        </is>
      </c>
      <c r="I246" s="2" t="n">
        <v>16849.53</v>
      </c>
      <c r="J246" s="2" t="inlineStr">
        <is>
          <t>ATM</t>
        </is>
      </c>
      <c r="K246" s="2" t="inlineStr">
        <is>
          <t>N</t>
        </is>
      </c>
    </row>
    <row r="247">
      <c r="A247" s="2" t="inlineStr">
        <is>
          <t>TXN100247</t>
        </is>
      </c>
      <c r="B247" s="2" t="inlineStr">
        <is>
          <t xml:space="preserve">  CUST0247 </t>
        </is>
      </c>
      <c r="C247" s="2" t="inlineStr">
        <is>
          <t>2026-06-01 03:43:00</t>
        </is>
      </c>
      <c r="D247" s="2" t="inlineStr">
        <is>
          <t>Male</t>
        </is>
      </c>
      <c r="E247" s="2" t="n">
        <v>20</v>
      </c>
      <c r="F247" s="2" t="inlineStr">
        <is>
          <t>Investment</t>
        </is>
      </c>
      <c r="G247" s="2" t="inlineStr">
        <is>
          <t>GROCERIES</t>
        </is>
      </c>
      <c r="H247" s="2" t="inlineStr">
        <is>
          <t>$3261.19</t>
        </is>
      </c>
      <c r="I247" s="2" t="n">
        <v>46784.09</v>
      </c>
      <c r="J247" s="2" t="inlineStr">
        <is>
          <t>ATM</t>
        </is>
      </c>
      <c r="K247" s="2" t="inlineStr">
        <is>
          <t>N</t>
        </is>
      </c>
    </row>
    <row r="248">
      <c r="A248" s="2" t="inlineStr">
        <is>
          <t>TXN100248</t>
        </is>
      </c>
      <c r="B248" s="2" t="inlineStr">
        <is>
          <t xml:space="preserve">  CUST0248 </t>
        </is>
      </c>
      <c r="C248" s="2" t="inlineStr">
        <is>
          <t>2026-06-01 15:41:00</t>
        </is>
      </c>
      <c r="D248" s="2" t="inlineStr">
        <is>
          <t>F</t>
        </is>
      </c>
      <c r="E248" s="2" t="n">
        <v>68</v>
      </c>
      <c r="F248" s="2" t="inlineStr">
        <is>
          <t>Checking</t>
        </is>
      </c>
      <c r="G248" s="2" t="inlineStr">
        <is>
          <t>Entertainment</t>
        </is>
      </c>
      <c r="H248" s="2" t="inlineStr">
        <is>
          <t>$2290.47</t>
        </is>
      </c>
      <c r="I248" s="2" t="n">
        <v>3428.55</v>
      </c>
      <c r="J248" s="2" t="inlineStr">
        <is>
          <t xml:space="preserve">Mobile App </t>
        </is>
      </c>
      <c r="K248" s="2" t="inlineStr">
        <is>
          <t>N</t>
        </is>
      </c>
    </row>
    <row r="249">
      <c r="A249" s="2" t="inlineStr">
        <is>
          <t>TXN100249</t>
        </is>
      </c>
      <c r="B249" s="2" t="inlineStr">
        <is>
          <t xml:space="preserve">  CUST0249 </t>
        </is>
      </c>
      <c r="C249" s="2" t="inlineStr">
        <is>
          <t>2026-06-01 20:36:00</t>
        </is>
      </c>
      <c r="D249" s="2" t="inlineStr">
        <is>
          <t>F</t>
        </is>
      </c>
      <c r="E249" s="2" t="n">
        <v>54</v>
      </c>
      <c r="F249" s="2" t="inlineStr">
        <is>
          <t>Investment</t>
        </is>
      </c>
      <c r="G249" s="2" t="inlineStr">
        <is>
          <t>groceries</t>
        </is>
      </c>
      <c r="H249" s="2" t="inlineStr">
        <is>
          <t>$7306.71</t>
        </is>
      </c>
      <c r="I249" s="2" t="n">
        <v>9165.709999999999</v>
      </c>
      <c r="J249" s="2" t="inlineStr">
        <is>
          <t>Online Banking</t>
        </is>
      </c>
      <c r="K249" s="2" t="inlineStr">
        <is>
          <t>Y</t>
        </is>
      </c>
    </row>
    <row r="250">
      <c r="A250" s="2" t="inlineStr">
        <is>
          <t>TXN100250</t>
        </is>
      </c>
      <c r="B250" s="2" t="inlineStr">
        <is>
          <t xml:space="preserve">  CUST0250 </t>
        </is>
      </c>
      <c r="C250" s="2" t="inlineStr">
        <is>
          <t>2026-06-01 01:53:00</t>
        </is>
      </c>
      <c r="D250" s="3" t="inlineStr"/>
      <c r="E250" s="2" t="n">
        <v>70</v>
      </c>
      <c r="F250" s="2" t="inlineStr">
        <is>
          <t>Checking</t>
        </is>
      </c>
      <c r="G250" s="2" t="inlineStr">
        <is>
          <t>GROCERIES</t>
        </is>
      </c>
      <c r="H250" s="2" t="inlineStr">
        <is>
          <t>$7493.5</t>
        </is>
      </c>
      <c r="I250" s="2" t="n">
        <v>48125.5</v>
      </c>
      <c r="J250" s="2" t="inlineStr">
        <is>
          <t>Branch Office</t>
        </is>
      </c>
      <c r="K250" s="2" t="inlineStr">
        <is>
          <t>Y</t>
        </is>
      </c>
    </row>
    <row r="251">
      <c r="A251" s="2" t="inlineStr">
        <is>
          <t>TXN100251</t>
        </is>
      </c>
      <c r="B251" s="2" t="inlineStr">
        <is>
          <t xml:space="preserve">  CUST0251 </t>
        </is>
      </c>
      <c r="C251" s="2" t="inlineStr">
        <is>
          <t>2026-06-01 00:19:00</t>
        </is>
      </c>
      <c r="D251" s="2" t="inlineStr">
        <is>
          <t>MALE</t>
        </is>
      </c>
      <c r="E251" s="2" t="n">
        <v>41</v>
      </c>
      <c r="F251" s="2" t="inlineStr">
        <is>
          <t>Checking</t>
        </is>
      </c>
      <c r="G251" s="2" t="inlineStr">
        <is>
          <t>Utilities</t>
        </is>
      </c>
      <c r="H251" s="2" t="inlineStr">
        <is>
          <t>$7912.9</t>
        </is>
      </c>
      <c r="I251" s="2" t="n">
        <v>27393.37</v>
      </c>
      <c r="J251" s="2" t="inlineStr">
        <is>
          <t>ATM</t>
        </is>
      </c>
      <c r="K251" s="2" t="inlineStr">
        <is>
          <t>Y</t>
        </is>
      </c>
    </row>
    <row r="252">
      <c r="A252" s="2" t="inlineStr">
        <is>
          <t>TXN100252</t>
        </is>
      </c>
      <c r="B252" s="2" t="inlineStr">
        <is>
          <t xml:space="preserve">  CUST0252 </t>
        </is>
      </c>
      <c r="C252" s="2" t="inlineStr">
        <is>
          <t>2026-06-01 04:54:00</t>
        </is>
      </c>
      <c r="D252" s="2" t="n"/>
      <c r="E252" s="2" t="n">
        <v>37</v>
      </c>
      <c r="F252" s="2" t="inlineStr">
        <is>
          <t>Savings</t>
        </is>
      </c>
      <c r="G252" s="2" t="inlineStr">
        <is>
          <t>groceries</t>
        </is>
      </c>
      <c r="H252" s="2" t="inlineStr">
        <is>
          <t>$2652.17</t>
        </is>
      </c>
      <c r="I252" s="2" t="n">
        <v>36690.4</v>
      </c>
      <c r="J252" s="2" t="inlineStr">
        <is>
          <t>Branch Office</t>
        </is>
      </c>
      <c r="K252" s="2" t="inlineStr">
        <is>
          <t>N</t>
        </is>
      </c>
    </row>
    <row r="253">
      <c r="A253" s="2" t="inlineStr">
        <is>
          <t>TXN100253</t>
        </is>
      </c>
      <c r="B253" s="2" t="inlineStr">
        <is>
          <t xml:space="preserve">  CUST0253 </t>
        </is>
      </c>
      <c r="C253" s="2" t="inlineStr">
        <is>
          <t>2026-06-01 22:11:00</t>
        </is>
      </c>
      <c r="D253" s="2" t="inlineStr">
        <is>
          <t>M</t>
        </is>
      </c>
      <c r="E253" s="2" t="n">
        <v>67</v>
      </c>
      <c r="F253" s="2" t="inlineStr">
        <is>
          <t>Checking</t>
        </is>
      </c>
      <c r="G253" s="2" t="inlineStr">
        <is>
          <t>Entertainment</t>
        </is>
      </c>
      <c r="H253" s="2" t="inlineStr">
        <is>
          <t>$4546.57</t>
        </is>
      </c>
      <c r="I253" s="2" t="n">
        <v>37985.5</v>
      </c>
      <c r="J253" s="2" t="inlineStr">
        <is>
          <t>Online Banking</t>
        </is>
      </c>
      <c r="K253" s="2" t="inlineStr">
        <is>
          <t>N</t>
        </is>
      </c>
    </row>
    <row r="254">
      <c r="A254" s="2" t="inlineStr">
        <is>
          <t>TXN100254</t>
        </is>
      </c>
      <c r="B254" s="2" t="inlineStr">
        <is>
          <t xml:space="preserve">  CUST0254 </t>
        </is>
      </c>
      <c r="C254" s="2" t="inlineStr">
        <is>
          <t>2026-06-01 19:54:00</t>
        </is>
      </c>
      <c r="D254" s="3" t="inlineStr"/>
      <c r="E254" s="2" t="n">
        <v>72</v>
      </c>
      <c r="F254" s="2" t="inlineStr">
        <is>
          <t>Checking</t>
        </is>
      </c>
      <c r="G254" s="2" t="inlineStr">
        <is>
          <t>Travel</t>
        </is>
      </c>
      <c r="H254" s="2" t="inlineStr">
        <is>
          <t>$2630.13</t>
        </is>
      </c>
      <c r="I254" s="2" t="n">
        <v>20341.25</v>
      </c>
      <c r="J254" s="2" t="inlineStr">
        <is>
          <t xml:space="preserve">Mobile App </t>
        </is>
      </c>
      <c r="K254" s="2" t="inlineStr">
        <is>
          <t>N</t>
        </is>
      </c>
    </row>
    <row r="255">
      <c r="A255" s="2" t="inlineStr">
        <is>
          <t>TXN100255</t>
        </is>
      </c>
      <c r="B255" s="2" t="inlineStr">
        <is>
          <t xml:space="preserve">  CUST0255 </t>
        </is>
      </c>
      <c r="C255" s="2" t="inlineStr">
        <is>
          <t>2026-06-01 05:08:00</t>
        </is>
      </c>
      <c r="D255" s="2" t="n"/>
      <c r="E255" s="2" t="n">
        <v>40</v>
      </c>
      <c r="F255" s="2" t="inlineStr">
        <is>
          <t>Savings</t>
        </is>
      </c>
      <c r="G255" s="2" t="inlineStr">
        <is>
          <t>groceries</t>
        </is>
      </c>
      <c r="H255" s="2" t="inlineStr">
        <is>
          <t>$2093.67</t>
        </is>
      </c>
      <c r="I255" s="2" t="n">
        <v>12158.3</v>
      </c>
      <c r="J255" s="2" t="inlineStr">
        <is>
          <t>Branch Office</t>
        </is>
      </c>
      <c r="K255" s="2" t="inlineStr">
        <is>
          <t>N</t>
        </is>
      </c>
    </row>
    <row r="256">
      <c r="A256" s="2" t="inlineStr">
        <is>
          <t>TXN100256</t>
        </is>
      </c>
      <c r="B256" s="2" t="inlineStr">
        <is>
          <t xml:space="preserve">  CUST0256 </t>
        </is>
      </c>
      <c r="C256" s="2" t="inlineStr">
        <is>
          <t>2026-06-01 10:19:00</t>
        </is>
      </c>
      <c r="D256" s="2" t="inlineStr">
        <is>
          <t>M</t>
        </is>
      </c>
      <c r="E256" s="2" t="n">
        <v>36</v>
      </c>
      <c r="F256" s="2" t="inlineStr">
        <is>
          <t>Investment</t>
        </is>
      </c>
      <c r="G256" s="2" t="inlineStr">
        <is>
          <t>Entertainment</t>
        </is>
      </c>
      <c r="H256" s="2" t="inlineStr">
        <is>
          <t>$5545.22</t>
        </is>
      </c>
      <c r="I256" s="2" t="n">
        <v>3575.15</v>
      </c>
      <c r="J256" s="2" t="inlineStr">
        <is>
          <t xml:space="preserve">Mobile App </t>
        </is>
      </c>
      <c r="K256" s="2" t="inlineStr">
        <is>
          <t>N</t>
        </is>
      </c>
    </row>
    <row r="257">
      <c r="A257" s="2" t="inlineStr">
        <is>
          <t>TXN100257</t>
        </is>
      </c>
      <c r="B257" s="2" t="inlineStr">
        <is>
          <t xml:space="preserve">  CUST0257 </t>
        </is>
      </c>
      <c r="C257" s="2" t="inlineStr">
        <is>
          <t>2026-06-01 14:19:00</t>
        </is>
      </c>
      <c r="D257" s="2" t="inlineStr">
        <is>
          <t>Male</t>
        </is>
      </c>
      <c r="E257" s="2" t="n">
        <v>45</v>
      </c>
      <c r="F257" s="2" t="inlineStr">
        <is>
          <t>Investment</t>
        </is>
      </c>
      <c r="G257" s="2" t="inlineStr">
        <is>
          <t>Travel</t>
        </is>
      </c>
      <c r="H257" s="2" t="inlineStr">
        <is>
          <t>$7385.62</t>
        </is>
      </c>
      <c r="I257" s="2" t="n">
        <v>44446.17</v>
      </c>
      <c r="J257" s="2" t="inlineStr">
        <is>
          <t>Branch Office</t>
        </is>
      </c>
      <c r="K257" s="2" t="inlineStr">
        <is>
          <t>Y</t>
        </is>
      </c>
    </row>
    <row r="258">
      <c r="A258" s="2" t="inlineStr">
        <is>
          <t>TXN100258</t>
        </is>
      </c>
      <c r="B258" s="2" t="inlineStr">
        <is>
          <t xml:space="preserve">  CUST0258 </t>
        </is>
      </c>
      <c r="C258" s="2" t="inlineStr">
        <is>
          <t>2026-06-01 20:58:00</t>
        </is>
      </c>
      <c r="D258" s="2" t="inlineStr">
        <is>
          <t>female</t>
        </is>
      </c>
      <c r="E258" s="2" t="n">
        <v>43</v>
      </c>
      <c r="F258" s="2" t="inlineStr">
        <is>
          <t>Investment</t>
        </is>
      </c>
      <c r="G258" s="2" t="inlineStr">
        <is>
          <t>GROCERIES</t>
        </is>
      </c>
      <c r="H258" s="2" t="inlineStr">
        <is>
          <t>$1760.84</t>
        </is>
      </c>
      <c r="I258" s="2" t="n">
        <v>7111.65</v>
      </c>
      <c r="J258" s="2" t="inlineStr">
        <is>
          <t>Online Banking</t>
        </is>
      </c>
      <c r="K258" s="2" t="inlineStr">
        <is>
          <t>N</t>
        </is>
      </c>
    </row>
    <row r="259">
      <c r="A259" s="2" t="inlineStr">
        <is>
          <t>TXN100259</t>
        </is>
      </c>
      <c r="B259" s="2" t="inlineStr">
        <is>
          <t xml:space="preserve">  CUST0259 </t>
        </is>
      </c>
      <c r="C259" s="2" t="inlineStr">
        <is>
          <t>2026-06-01 14:47:00</t>
        </is>
      </c>
      <c r="D259" s="2" t="inlineStr">
        <is>
          <t>Female</t>
        </is>
      </c>
      <c r="E259" s="2" t="n">
        <v>46</v>
      </c>
      <c r="F259" s="2" t="inlineStr">
        <is>
          <t>Investment</t>
        </is>
      </c>
      <c r="G259" s="2" t="inlineStr">
        <is>
          <t>Travel</t>
        </is>
      </c>
      <c r="H259" s="2" t="inlineStr">
        <is>
          <t>$7303.25</t>
        </is>
      </c>
      <c r="I259" s="2" t="n">
        <v>37988.85</v>
      </c>
      <c r="J259" s="2" t="inlineStr">
        <is>
          <t>Online Banking</t>
        </is>
      </c>
      <c r="K259" s="2" t="inlineStr">
        <is>
          <t>Y</t>
        </is>
      </c>
    </row>
    <row r="260">
      <c r="A260" s="2" t="inlineStr">
        <is>
          <t>TXN100260</t>
        </is>
      </c>
      <c r="B260" s="2" t="inlineStr">
        <is>
          <t xml:space="preserve">  CUST0260 </t>
        </is>
      </c>
      <c r="C260" s="2" t="inlineStr">
        <is>
          <t>2026-06-01 21:48:00</t>
        </is>
      </c>
      <c r="D260" s="2" t="inlineStr">
        <is>
          <t>MALE</t>
        </is>
      </c>
      <c r="E260" s="2" t="n">
        <v>53</v>
      </c>
      <c r="F260" s="2" t="inlineStr">
        <is>
          <t>Checking</t>
        </is>
      </c>
      <c r="G260" s="2" t="inlineStr">
        <is>
          <t>Travel</t>
        </is>
      </c>
      <c r="H260" s="2" t="inlineStr">
        <is>
          <t>$5633.09</t>
        </is>
      </c>
      <c r="I260" s="2" t="n">
        <v>4366.08</v>
      </c>
      <c r="J260" s="2" t="inlineStr">
        <is>
          <t xml:space="preserve">Mobile App </t>
        </is>
      </c>
      <c r="K260" s="2" t="inlineStr">
        <is>
          <t>N</t>
        </is>
      </c>
    </row>
    <row r="261">
      <c r="A261" s="2" t="inlineStr">
        <is>
          <t>TXN100261</t>
        </is>
      </c>
      <c r="B261" s="2" t="inlineStr">
        <is>
          <t xml:space="preserve">  CUST0261 </t>
        </is>
      </c>
      <c r="C261" s="2" t="inlineStr">
        <is>
          <t>2026-06-01 01:53:00</t>
        </is>
      </c>
      <c r="D261" s="2" t="inlineStr">
        <is>
          <t>F</t>
        </is>
      </c>
      <c r="E261" s="2" t="n">
        <v>56</v>
      </c>
      <c r="F261" s="2" t="inlineStr">
        <is>
          <t>Investment</t>
        </is>
      </c>
      <c r="G261" s="2" t="inlineStr">
        <is>
          <t>GROCERIES</t>
        </is>
      </c>
      <c r="H261" s="2" t="inlineStr">
        <is>
          <t>$1324.65</t>
        </is>
      </c>
      <c r="I261" s="2" t="n">
        <v>42797.06</v>
      </c>
      <c r="J261" s="2" t="inlineStr">
        <is>
          <t>ATM</t>
        </is>
      </c>
      <c r="K261" s="2" t="inlineStr">
        <is>
          <t>N</t>
        </is>
      </c>
    </row>
    <row r="262">
      <c r="A262" s="2" t="inlineStr">
        <is>
          <t>TXN100262</t>
        </is>
      </c>
      <c r="B262" s="2" t="inlineStr">
        <is>
          <t xml:space="preserve">  CUST0262 </t>
        </is>
      </c>
      <c r="C262" s="2" t="inlineStr">
        <is>
          <t>2026-06-01 03:43:00</t>
        </is>
      </c>
      <c r="D262" s="2" t="inlineStr">
        <is>
          <t>F</t>
        </is>
      </c>
      <c r="E262" s="2" t="n">
        <v>65</v>
      </c>
      <c r="F262" s="2" t="inlineStr">
        <is>
          <t>Investment</t>
        </is>
      </c>
      <c r="G262" s="2" t="inlineStr">
        <is>
          <t>Utilities</t>
        </is>
      </c>
      <c r="H262" s="2" t="inlineStr">
        <is>
          <t>$736.62</t>
        </is>
      </c>
      <c r="I262" s="2" t="n">
        <v>25763.58</v>
      </c>
      <c r="J262" s="2" t="inlineStr">
        <is>
          <t xml:space="preserve">Mobile App </t>
        </is>
      </c>
      <c r="K262" s="2" t="inlineStr">
        <is>
          <t>N</t>
        </is>
      </c>
    </row>
    <row r="263">
      <c r="A263" s="2" t="inlineStr">
        <is>
          <t>TXN100263</t>
        </is>
      </c>
      <c r="B263" s="2" t="inlineStr">
        <is>
          <t xml:space="preserve">  CUST0263 </t>
        </is>
      </c>
      <c r="C263" s="2" t="inlineStr">
        <is>
          <t>2026-06-01 14:08:00</t>
        </is>
      </c>
      <c r="D263" s="3" t="inlineStr"/>
      <c r="E263" s="2" t="n">
        <v>49</v>
      </c>
      <c r="F263" s="2" t="inlineStr">
        <is>
          <t>Investment</t>
        </is>
      </c>
      <c r="G263" s="2" t="inlineStr">
        <is>
          <t>groceries</t>
        </is>
      </c>
      <c r="H263" s="2" t="inlineStr">
        <is>
          <t>$4474.79</t>
        </is>
      </c>
      <c r="I263" s="2" t="n">
        <v>33802</v>
      </c>
      <c r="J263" s="2" t="inlineStr">
        <is>
          <t>Branch Office</t>
        </is>
      </c>
      <c r="K263" s="2" t="inlineStr">
        <is>
          <t>N</t>
        </is>
      </c>
    </row>
    <row r="264">
      <c r="A264" s="2" t="inlineStr">
        <is>
          <t>TXN100264</t>
        </is>
      </c>
      <c r="B264" s="2" t="inlineStr">
        <is>
          <t xml:space="preserve">  CUST0264 </t>
        </is>
      </c>
      <c r="C264" s="2" t="inlineStr">
        <is>
          <t>2026-06-01 23:01:00</t>
        </is>
      </c>
      <c r="D264" s="3" t="inlineStr"/>
      <c r="E264" s="2" t="n">
        <v>36</v>
      </c>
      <c r="F264" s="2" t="inlineStr">
        <is>
          <t>Savings</t>
        </is>
      </c>
      <c r="G264" s="2" t="inlineStr">
        <is>
          <t>GROCERIES</t>
        </is>
      </c>
      <c r="H264" s="2" t="inlineStr">
        <is>
          <t>$4630.71</t>
        </is>
      </c>
      <c r="I264" s="2" t="n">
        <v>2741.85</v>
      </c>
      <c r="J264" s="2" t="inlineStr">
        <is>
          <t>Branch Office</t>
        </is>
      </c>
      <c r="K264" s="2" t="inlineStr">
        <is>
          <t>N</t>
        </is>
      </c>
    </row>
    <row r="265">
      <c r="A265" s="2" t="inlineStr">
        <is>
          <t>TXN100265</t>
        </is>
      </c>
      <c r="B265" s="2" t="inlineStr">
        <is>
          <t xml:space="preserve">  CUST0265 </t>
        </is>
      </c>
      <c r="C265" s="2" t="inlineStr">
        <is>
          <t>2026-06-01 22:04:00</t>
        </is>
      </c>
      <c r="D265" s="2" t="inlineStr">
        <is>
          <t>M</t>
        </is>
      </c>
      <c r="E265" s="2" t="n">
        <v>24</v>
      </c>
      <c r="F265" s="2" t="inlineStr">
        <is>
          <t>Checking</t>
        </is>
      </c>
      <c r="G265" s="2" t="inlineStr">
        <is>
          <t>groceries</t>
        </is>
      </c>
      <c r="H265" s="2" t="inlineStr">
        <is>
          <t>$2303.85</t>
        </is>
      </c>
      <c r="I265" s="2" t="n">
        <v>9409.08</v>
      </c>
      <c r="J265" s="2" t="inlineStr">
        <is>
          <t>Online Banking</t>
        </is>
      </c>
      <c r="K265" s="2" t="inlineStr">
        <is>
          <t>N</t>
        </is>
      </c>
    </row>
    <row r="266">
      <c r="A266" s="2" t="inlineStr">
        <is>
          <t>TXN100266</t>
        </is>
      </c>
      <c r="B266" s="2" t="inlineStr">
        <is>
          <t xml:space="preserve">  CUST0266 </t>
        </is>
      </c>
      <c r="C266" s="2" t="inlineStr">
        <is>
          <t>2026-06-01 20:46:00</t>
        </is>
      </c>
      <c r="D266" s="3" t="inlineStr"/>
      <c r="E266" s="2" t="n">
        <v>43</v>
      </c>
      <c r="F266" s="2" t="inlineStr">
        <is>
          <t>Checking</t>
        </is>
      </c>
      <c r="G266" s="2" t="inlineStr">
        <is>
          <t>Utilities</t>
        </is>
      </c>
      <c r="H266" s="2" t="inlineStr">
        <is>
          <t>$6958.27</t>
        </is>
      </c>
      <c r="I266" s="2" t="n">
        <v>45384.98</v>
      </c>
      <c r="J266" s="2" t="inlineStr">
        <is>
          <t>ATM</t>
        </is>
      </c>
      <c r="K266" s="2" t="inlineStr">
        <is>
          <t>N</t>
        </is>
      </c>
    </row>
    <row r="267">
      <c r="A267" s="2" t="inlineStr">
        <is>
          <t>TXN100267</t>
        </is>
      </c>
      <c r="B267" s="2" t="inlineStr">
        <is>
          <t xml:space="preserve">  CUST0267 </t>
        </is>
      </c>
      <c r="C267" s="2" t="inlineStr">
        <is>
          <t>2026-06-01 02:43:00</t>
        </is>
      </c>
      <c r="D267" s="2" t="inlineStr">
        <is>
          <t>Male</t>
        </is>
      </c>
      <c r="E267" s="2" t="n">
        <v>61</v>
      </c>
      <c r="F267" s="2" t="inlineStr">
        <is>
          <t>Checking</t>
        </is>
      </c>
      <c r="G267" s="2" t="inlineStr">
        <is>
          <t>groceries</t>
        </is>
      </c>
      <c r="H267" s="2" t="inlineStr">
        <is>
          <t>$1436.0</t>
        </is>
      </c>
      <c r="I267" s="2" t="n">
        <v>27094.3</v>
      </c>
      <c r="J267" s="2" t="inlineStr">
        <is>
          <t>Online Banking</t>
        </is>
      </c>
      <c r="K267" s="2" t="inlineStr">
        <is>
          <t>N</t>
        </is>
      </c>
    </row>
    <row r="268">
      <c r="A268" s="2" t="inlineStr">
        <is>
          <t>TXN100268</t>
        </is>
      </c>
      <c r="B268" s="2" t="inlineStr">
        <is>
          <t xml:space="preserve">  CUST0268 </t>
        </is>
      </c>
      <c r="C268" s="2" t="inlineStr">
        <is>
          <t>2026-06-01 23:14:00</t>
        </is>
      </c>
      <c r="D268" s="2" t="inlineStr">
        <is>
          <t>M</t>
        </is>
      </c>
      <c r="E268" s="2" t="n">
        <v>68</v>
      </c>
      <c r="F268" s="2" t="inlineStr">
        <is>
          <t>Savings</t>
        </is>
      </c>
      <c r="G268" s="2" t="inlineStr">
        <is>
          <t>Entertainment</t>
        </is>
      </c>
      <c r="H268" s="2" t="inlineStr">
        <is>
          <t>$3709.4</t>
        </is>
      </c>
      <c r="I268" s="2" t="n">
        <v>36095.15</v>
      </c>
      <c r="J268" s="2" t="inlineStr">
        <is>
          <t>ATM</t>
        </is>
      </c>
      <c r="K268" s="2" t="inlineStr">
        <is>
          <t>N</t>
        </is>
      </c>
    </row>
    <row r="269">
      <c r="A269" s="2" t="inlineStr">
        <is>
          <t>TXN100269</t>
        </is>
      </c>
      <c r="B269" s="2" t="inlineStr">
        <is>
          <t xml:space="preserve">  CUST0269 </t>
        </is>
      </c>
      <c r="C269" s="2" t="inlineStr">
        <is>
          <t>2026-06-01 17:24:00</t>
        </is>
      </c>
      <c r="D269" s="2" t="inlineStr">
        <is>
          <t>F</t>
        </is>
      </c>
      <c r="E269" s="2" t="n">
        <v>35</v>
      </c>
      <c r="F269" s="2" t="inlineStr">
        <is>
          <t>Checking</t>
        </is>
      </c>
      <c r="G269" s="2" t="inlineStr">
        <is>
          <t>Entertainment</t>
        </is>
      </c>
      <c r="H269" s="2" t="inlineStr">
        <is>
          <t>$1249.42</t>
        </is>
      </c>
      <c r="I269" s="2" t="n">
        <v>9829.780000000001</v>
      </c>
      <c r="J269" s="2" t="inlineStr">
        <is>
          <t xml:space="preserve">Mobile App </t>
        </is>
      </c>
      <c r="K269" s="2" t="inlineStr">
        <is>
          <t>N</t>
        </is>
      </c>
    </row>
    <row r="270">
      <c r="A270" s="2" t="inlineStr">
        <is>
          <t>TXN100270</t>
        </is>
      </c>
      <c r="B270" s="2" t="inlineStr">
        <is>
          <t xml:space="preserve">  CUST0270 </t>
        </is>
      </c>
      <c r="C270" s="2" t="inlineStr">
        <is>
          <t>2026-06-01 01:51:00</t>
        </is>
      </c>
      <c r="D270" s="3" t="inlineStr"/>
      <c r="E270" s="2" t="n">
        <v>59</v>
      </c>
      <c r="F270" s="2" t="inlineStr">
        <is>
          <t>Savings</t>
        </is>
      </c>
      <c r="G270" s="2" t="inlineStr">
        <is>
          <t>GROCERIES</t>
        </is>
      </c>
      <c r="H270" s="2" t="inlineStr">
        <is>
          <t>$1656.59</t>
        </is>
      </c>
      <c r="I270" s="2" t="n">
        <v>5494.39</v>
      </c>
      <c r="J270" s="2" t="inlineStr">
        <is>
          <t xml:space="preserve">Mobile App </t>
        </is>
      </c>
      <c r="K270" s="2" t="inlineStr">
        <is>
          <t>N</t>
        </is>
      </c>
    </row>
    <row r="271">
      <c r="A271" s="2" t="inlineStr">
        <is>
          <t>TXN100271</t>
        </is>
      </c>
      <c r="B271" s="2" t="inlineStr">
        <is>
          <t xml:space="preserve">  CUST0271 </t>
        </is>
      </c>
      <c r="C271" s="2" t="inlineStr">
        <is>
          <t>2026-06-01 14:38:00</t>
        </is>
      </c>
      <c r="D271" s="2" t="inlineStr">
        <is>
          <t>M</t>
        </is>
      </c>
      <c r="E271" s="2" t="n">
        <v>35</v>
      </c>
      <c r="F271" s="2" t="inlineStr">
        <is>
          <t>Investment</t>
        </is>
      </c>
      <c r="G271" s="2" t="inlineStr">
        <is>
          <t>groceries</t>
        </is>
      </c>
      <c r="H271" s="2" t="inlineStr">
        <is>
          <t>$3224.1</t>
        </is>
      </c>
      <c r="I271" s="2" t="n">
        <v>12099.79</v>
      </c>
      <c r="J271" s="2" t="inlineStr">
        <is>
          <t>Online Banking</t>
        </is>
      </c>
      <c r="K271" s="2" t="inlineStr">
        <is>
          <t>N</t>
        </is>
      </c>
    </row>
    <row r="272">
      <c r="A272" s="2" t="inlineStr">
        <is>
          <t>TXN100272</t>
        </is>
      </c>
      <c r="B272" s="2" t="inlineStr">
        <is>
          <t xml:space="preserve">  CUST0272 </t>
        </is>
      </c>
      <c r="C272" s="2" t="inlineStr">
        <is>
          <t>2026-06-01 01:08:00</t>
        </is>
      </c>
      <c r="D272" s="2" t="inlineStr">
        <is>
          <t>female</t>
        </is>
      </c>
      <c r="E272" s="2" t="n">
        <v>34</v>
      </c>
      <c r="F272" s="2" t="inlineStr">
        <is>
          <t>Investment</t>
        </is>
      </c>
      <c r="G272" s="2" t="inlineStr">
        <is>
          <t>Travel</t>
        </is>
      </c>
      <c r="H272" s="2" t="inlineStr">
        <is>
          <t>$2558.04</t>
        </is>
      </c>
      <c r="I272" s="2" t="n">
        <v>30096.92</v>
      </c>
      <c r="J272" s="2" t="inlineStr">
        <is>
          <t>Branch Office</t>
        </is>
      </c>
      <c r="K272" s="2" t="inlineStr">
        <is>
          <t>N</t>
        </is>
      </c>
    </row>
    <row r="273">
      <c r="A273" s="2" t="inlineStr">
        <is>
          <t>TXN100273</t>
        </is>
      </c>
      <c r="B273" s="2" t="inlineStr">
        <is>
          <t xml:space="preserve">  CUST0273 </t>
        </is>
      </c>
      <c r="C273" s="2" t="inlineStr">
        <is>
          <t>2026-06-01 07:19:00</t>
        </is>
      </c>
      <c r="D273" s="2" t="inlineStr">
        <is>
          <t>Male</t>
        </is>
      </c>
      <c r="E273" s="2" t="n">
        <v>62</v>
      </c>
      <c r="F273" s="2" t="inlineStr">
        <is>
          <t>Investment</t>
        </is>
      </c>
      <c r="G273" s="2" t="inlineStr">
        <is>
          <t>GROCERIES</t>
        </is>
      </c>
      <c r="H273" s="2" t="inlineStr">
        <is>
          <t>$3314.35</t>
        </is>
      </c>
      <c r="I273" s="2" t="n">
        <v>14120.12</v>
      </c>
      <c r="J273" s="2" t="inlineStr">
        <is>
          <t>Online Banking</t>
        </is>
      </c>
      <c r="K273" s="2" t="inlineStr">
        <is>
          <t>N</t>
        </is>
      </c>
    </row>
    <row r="274">
      <c r="A274" s="2" t="inlineStr">
        <is>
          <t>TXN100274</t>
        </is>
      </c>
      <c r="B274" s="2" t="inlineStr">
        <is>
          <t xml:space="preserve">  CUST0274 </t>
        </is>
      </c>
      <c r="C274" s="2" t="inlineStr">
        <is>
          <t>2026-06-01 20:43:00</t>
        </is>
      </c>
      <c r="D274" s="3" t="inlineStr"/>
      <c r="E274" s="2" t="n">
        <v>55</v>
      </c>
      <c r="F274" s="2" t="inlineStr">
        <is>
          <t>Checking</t>
        </is>
      </c>
      <c r="G274" s="2" t="inlineStr">
        <is>
          <t>groceries</t>
        </is>
      </c>
      <c r="H274" s="2" t="inlineStr">
        <is>
          <t>$7778.6</t>
        </is>
      </c>
      <c r="I274" s="2" t="n">
        <v>47108.53</v>
      </c>
      <c r="J274" s="2" t="inlineStr">
        <is>
          <t>ATM</t>
        </is>
      </c>
      <c r="K274" s="2" t="inlineStr">
        <is>
          <t>Y</t>
        </is>
      </c>
    </row>
    <row r="275">
      <c r="A275" s="2" t="inlineStr">
        <is>
          <t>TXN100275</t>
        </is>
      </c>
      <c r="B275" s="2" t="inlineStr">
        <is>
          <t xml:space="preserve">  CUST0275 </t>
        </is>
      </c>
      <c r="C275" s="2" t="inlineStr">
        <is>
          <t>2026-06-01 10:44:00</t>
        </is>
      </c>
      <c r="D275" s="3" t="inlineStr"/>
      <c r="E275" s="2" t="n">
        <v>46</v>
      </c>
      <c r="F275" s="2" t="inlineStr">
        <is>
          <t>Savings</t>
        </is>
      </c>
      <c r="G275" s="2" t="inlineStr">
        <is>
          <t>Entertainment</t>
        </is>
      </c>
      <c r="H275" s="2" t="inlineStr">
        <is>
          <t>$3017.92</t>
        </is>
      </c>
      <c r="I275" s="2" t="n">
        <v>37843.6</v>
      </c>
      <c r="J275" s="2" t="inlineStr">
        <is>
          <t>ATM</t>
        </is>
      </c>
      <c r="K275" s="2" t="inlineStr">
        <is>
          <t>N</t>
        </is>
      </c>
    </row>
    <row r="276">
      <c r="A276" s="2" t="inlineStr">
        <is>
          <t>TXN100276</t>
        </is>
      </c>
      <c r="B276" s="2" t="inlineStr">
        <is>
          <t xml:space="preserve">  CUST0276 </t>
        </is>
      </c>
      <c r="C276" s="2" t="inlineStr">
        <is>
          <t>2026-06-01 07:54:00</t>
        </is>
      </c>
      <c r="D276" s="2" t="inlineStr">
        <is>
          <t>F</t>
        </is>
      </c>
      <c r="E276" s="2" t="n">
        <v>39</v>
      </c>
      <c r="F276" s="2" t="inlineStr">
        <is>
          <t>Investment</t>
        </is>
      </c>
      <c r="G276" s="2" t="inlineStr">
        <is>
          <t>GROCERIES</t>
        </is>
      </c>
      <c r="H276" s="2" t="inlineStr">
        <is>
          <t>$6448.15</t>
        </is>
      </c>
      <c r="I276" s="2" t="n">
        <v>45779.69</v>
      </c>
      <c r="J276" s="2" t="inlineStr">
        <is>
          <t>ATM</t>
        </is>
      </c>
      <c r="K276" s="2" t="inlineStr">
        <is>
          <t>N</t>
        </is>
      </c>
    </row>
    <row r="277">
      <c r="A277" s="2" t="inlineStr">
        <is>
          <t>TXN100277</t>
        </is>
      </c>
      <c r="B277" s="2" t="inlineStr">
        <is>
          <t xml:space="preserve">  CUST0277 </t>
        </is>
      </c>
      <c r="C277" s="2" t="inlineStr">
        <is>
          <t>2026-06-01 13:35:00</t>
        </is>
      </c>
      <c r="D277" s="2" t="inlineStr">
        <is>
          <t>Male</t>
        </is>
      </c>
      <c r="E277" s="2" t="n">
        <v>44</v>
      </c>
      <c r="F277" s="2" t="inlineStr">
        <is>
          <t>Savings</t>
        </is>
      </c>
      <c r="G277" s="2" t="inlineStr">
        <is>
          <t>Entertainment</t>
        </is>
      </c>
      <c r="H277" s="2" t="inlineStr">
        <is>
          <t>$1634.66</t>
        </is>
      </c>
      <c r="I277" s="2" t="n">
        <v>32511.94</v>
      </c>
      <c r="J277" s="2" t="inlineStr">
        <is>
          <t>ATM</t>
        </is>
      </c>
      <c r="K277" s="2" t="inlineStr">
        <is>
          <t>N</t>
        </is>
      </c>
    </row>
    <row r="278">
      <c r="A278" s="2" t="inlineStr">
        <is>
          <t>TXN100278</t>
        </is>
      </c>
      <c r="B278" s="2" t="inlineStr">
        <is>
          <t xml:space="preserve">  CUST0278 </t>
        </is>
      </c>
      <c r="C278" s="2" t="inlineStr">
        <is>
          <t>2026-06-01 11:05:00</t>
        </is>
      </c>
      <c r="D278" s="2" t="inlineStr">
        <is>
          <t>F</t>
        </is>
      </c>
      <c r="E278" s="2" t="n">
        <v>23</v>
      </c>
      <c r="F278" s="2" t="inlineStr">
        <is>
          <t>Checking</t>
        </is>
      </c>
      <c r="G278" s="2" t="inlineStr">
        <is>
          <t>Utilities</t>
        </is>
      </c>
      <c r="H278" s="2" t="inlineStr">
        <is>
          <t>$5392.64</t>
        </is>
      </c>
      <c r="I278" s="2" t="n">
        <v>30344.64</v>
      </c>
      <c r="J278" s="2" t="inlineStr">
        <is>
          <t xml:space="preserve">Mobile App </t>
        </is>
      </c>
      <c r="K278" s="2" t="inlineStr">
        <is>
          <t>N</t>
        </is>
      </c>
    </row>
    <row r="279">
      <c r="A279" s="2" t="inlineStr">
        <is>
          <t>TXN100279</t>
        </is>
      </c>
      <c r="B279" s="2" t="inlineStr">
        <is>
          <t xml:space="preserve">  CUST0279 </t>
        </is>
      </c>
      <c r="C279" s="2" t="inlineStr">
        <is>
          <t>2026-06-01 06:51:00</t>
        </is>
      </c>
      <c r="D279" s="2" t="inlineStr">
        <is>
          <t>F</t>
        </is>
      </c>
      <c r="E279" s="2" t="n">
        <v>50</v>
      </c>
      <c r="F279" s="2" t="inlineStr">
        <is>
          <t>Savings</t>
        </is>
      </c>
      <c r="G279" s="2" t="inlineStr">
        <is>
          <t>Entertainment</t>
        </is>
      </c>
      <c r="H279" s="2" t="inlineStr">
        <is>
          <t>$2432.47</t>
        </is>
      </c>
      <c r="I279" s="2" t="n">
        <v>45495.21</v>
      </c>
      <c r="J279" s="2" t="inlineStr">
        <is>
          <t>Online Banking</t>
        </is>
      </c>
      <c r="K279" s="2" t="inlineStr">
        <is>
          <t>N</t>
        </is>
      </c>
    </row>
    <row r="280">
      <c r="A280" s="2" t="inlineStr">
        <is>
          <t>TXN100280</t>
        </is>
      </c>
      <c r="B280" s="2" t="inlineStr">
        <is>
          <t xml:space="preserve">  CUST0280 </t>
        </is>
      </c>
      <c r="C280" s="2" t="inlineStr">
        <is>
          <t>2026-06-01 06:47:00</t>
        </is>
      </c>
      <c r="D280" s="2" t="inlineStr">
        <is>
          <t>MALE</t>
        </is>
      </c>
      <c r="E280" s="2" t="n">
        <v>67</v>
      </c>
      <c r="F280" s="2" t="inlineStr">
        <is>
          <t>Checking</t>
        </is>
      </c>
      <c r="G280" s="2" t="inlineStr">
        <is>
          <t>GROCERIES</t>
        </is>
      </c>
      <c r="H280" s="2" t="inlineStr">
        <is>
          <t>$5568.05</t>
        </is>
      </c>
      <c r="I280" s="2" t="n">
        <v>35336.54</v>
      </c>
      <c r="J280" s="2" t="inlineStr">
        <is>
          <t>ATM</t>
        </is>
      </c>
      <c r="K280" s="2" t="inlineStr">
        <is>
          <t>N</t>
        </is>
      </c>
    </row>
    <row r="281">
      <c r="A281" s="2" t="inlineStr">
        <is>
          <t>TXN100281</t>
        </is>
      </c>
      <c r="B281" s="2" t="inlineStr">
        <is>
          <t xml:space="preserve">  CUST0281 </t>
        </is>
      </c>
      <c r="C281" s="2" t="inlineStr">
        <is>
          <t>2026-06-01 07:35:00</t>
        </is>
      </c>
      <c r="D281" s="2" t="inlineStr">
        <is>
          <t>Female</t>
        </is>
      </c>
      <c r="E281" s="2" t="n">
        <v>69</v>
      </c>
      <c r="F281" s="2" t="inlineStr">
        <is>
          <t>Checking</t>
        </is>
      </c>
      <c r="G281" s="2" t="inlineStr">
        <is>
          <t>Utilities</t>
        </is>
      </c>
      <c r="H281" s="2" t="inlineStr">
        <is>
          <t>$3735.34</t>
        </is>
      </c>
      <c r="I281" s="2" t="n">
        <v>32611.71</v>
      </c>
      <c r="J281" s="2" t="inlineStr">
        <is>
          <t>Branch Office</t>
        </is>
      </c>
      <c r="K281" s="2" t="inlineStr">
        <is>
          <t>N</t>
        </is>
      </c>
    </row>
    <row r="282">
      <c r="A282" s="2" t="inlineStr">
        <is>
          <t>TXN100282</t>
        </is>
      </c>
      <c r="B282" s="2" t="inlineStr">
        <is>
          <t xml:space="preserve">  CUST0282 </t>
        </is>
      </c>
      <c r="C282" s="2" t="inlineStr">
        <is>
          <t>2026-06-01 08:23:00</t>
        </is>
      </c>
      <c r="D282" s="2" t="n"/>
      <c r="E282" s="2" t="n">
        <v>49</v>
      </c>
      <c r="F282" s="2" t="inlineStr">
        <is>
          <t>Savings</t>
        </is>
      </c>
      <c r="G282" s="2" t="inlineStr">
        <is>
          <t>Utilities</t>
        </is>
      </c>
      <c r="H282" s="2" t="inlineStr">
        <is>
          <t>$6095.42</t>
        </is>
      </c>
      <c r="I282" s="2" t="n">
        <v>16351.55</v>
      </c>
      <c r="J282" s="2" t="inlineStr">
        <is>
          <t>Online Banking</t>
        </is>
      </c>
      <c r="K282" s="2" t="inlineStr">
        <is>
          <t>N</t>
        </is>
      </c>
    </row>
    <row r="283">
      <c r="A283" s="2" t="inlineStr">
        <is>
          <t>TXN100283</t>
        </is>
      </c>
      <c r="B283" s="2" t="inlineStr">
        <is>
          <t xml:space="preserve">  CUST0283 </t>
        </is>
      </c>
      <c r="C283" s="2" t="inlineStr">
        <is>
          <t>2026-06-01 11:20:00</t>
        </is>
      </c>
      <c r="D283" s="3" t="inlineStr"/>
      <c r="E283" s="2" t="n">
        <v>22</v>
      </c>
      <c r="F283" s="2" t="inlineStr">
        <is>
          <t>Investment</t>
        </is>
      </c>
      <c r="G283" s="2" t="inlineStr">
        <is>
          <t>GROCERIES</t>
        </is>
      </c>
      <c r="H283" s="2" t="inlineStr">
        <is>
          <t>$5932.61</t>
        </is>
      </c>
      <c r="I283" s="2" t="n">
        <v>1302.89</v>
      </c>
      <c r="J283" s="2" t="inlineStr">
        <is>
          <t>ATM</t>
        </is>
      </c>
      <c r="K283" s="2" t="inlineStr">
        <is>
          <t>N</t>
        </is>
      </c>
    </row>
    <row r="284">
      <c r="A284" s="2" t="inlineStr">
        <is>
          <t>TXN100284</t>
        </is>
      </c>
      <c r="B284" s="2" t="inlineStr">
        <is>
          <t xml:space="preserve">  CUST0284 </t>
        </is>
      </c>
      <c r="C284" s="2" t="inlineStr">
        <is>
          <t>2026-06-01 09:09:00</t>
        </is>
      </c>
      <c r="D284" s="2" t="inlineStr">
        <is>
          <t>F</t>
        </is>
      </c>
      <c r="E284" s="2" t="n">
        <v>41</v>
      </c>
      <c r="F284" s="2" t="inlineStr">
        <is>
          <t>Savings</t>
        </is>
      </c>
      <c r="G284" s="2" t="inlineStr">
        <is>
          <t>Utilities</t>
        </is>
      </c>
      <c r="H284" s="2" t="inlineStr">
        <is>
          <t>$4562.62</t>
        </is>
      </c>
      <c r="I284" s="2" t="n">
        <v>12663.64</v>
      </c>
      <c r="J284" s="2" t="inlineStr">
        <is>
          <t>Branch Office</t>
        </is>
      </c>
      <c r="K284" s="2" t="inlineStr">
        <is>
          <t>N</t>
        </is>
      </c>
    </row>
    <row r="285">
      <c r="A285" s="2" t="inlineStr">
        <is>
          <t>TXN100285</t>
        </is>
      </c>
      <c r="B285" s="2" t="inlineStr">
        <is>
          <t xml:space="preserve">  CUST0285 </t>
        </is>
      </c>
      <c r="C285" s="2" t="inlineStr">
        <is>
          <t>2026-06-01 08:48:00</t>
        </is>
      </c>
      <c r="D285" s="2" t="n"/>
      <c r="E285" s="2" t="n">
        <v>66</v>
      </c>
      <c r="F285" s="2" t="inlineStr">
        <is>
          <t>Investment</t>
        </is>
      </c>
      <c r="G285" s="2" t="inlineStr">
        <is>
          <t>Utilities</t>
        </is>
      </c>
      <c r="H285" s="2" t="inlineStr">
        <is>
          <t>$3692.02</t>
        </is>
      </c>
      <c r="I285" s="2" t="n">
        <v>36772.23</v>
      </c>
      <c r="J285" s="2" t="inlineStr">
        <is>
          <t>Branch Office</t>
        </is>
      </c>
      <c r="K285" s="2" t="inlineStr">
        <is>
          <t>N</t>
        </is>
      </c>
    </row>
    <row r="286">
      <c r="A286" s="2" t="inlineStr">
        <is>
          <t>TXN100286</t>
        </is>
      </c>
      <c r="B286" s="2" t="inlineStr">
        <is>
          <t xml:space="preserve">  CUST0286 </t>
        </is>
      </c>
      <c r="C286" s="2" t="inlineStr">
        <is>
          <t>2026-06-01 05:08:00</t>
        </is>
      </c>
      <c r="D286" s="2" t="n"/>
      <c r="E286" s="2" t="n">
        <v>31</v>
      </c>
      <c r="F286" s="2" t="inlineStr">
        <is>
          <t>Investment</t>
        </is>
      </c>
      <c r="G286" s="2" t="inlineStr">
        <is>
          <t>groceries</t>
        </is>
      </c>
      <c r="H286" s="2" t="inlineStr">
        <is>
          <t>$4196.32</t>
        </is>
      </c>
      <c r="I286" s="2" t="n">
        <v>42033.89</v>
      </c>
      <c r="J286" s="2" t="inlineStr">
        <is>
          <t xml:space="preserve">Mobile App </t>
        </is>
      </c>
      <c r="K286" s="2" t="inlineStr">
        <is>
          <t>N</t>
        </is>
      </c>
    </row>
    <row r="287">
      <c r="A287" s="2" t="inlineStr">
        <is>
          <t>TXN100287</t>
        </is>
      </c>
      <c r="B287" s="2" t="inlineStr">
        <is>
          <t xml:space="preserve">  CUST0287 </t>
        </is>
      </c>
      <c r="C287" s="2" t="inlineStr">
        <is>
          <t>2026-06-01 21:03:00</t>
        </is>
      </c>
      <c r="D287" s="2" t="inlineStr">
        <is>
          <t>M</t>
        </is>
      </c>
      <c r="E287" s="2" t="n">
        <v>46</v>
      </c>
      <c r="F287" s="2" t="inlineStr">
        <is>
          <t>Savings</t>
        </is>
      </c>
      <c r="G287" s="2" t="inlineStr">
        <is>
          <t>GROCERIES</t>
        </is>
      </c>
      <c r="H287" s="2" t="inlineStr">
        <is>
          <t>$553.06</t>
        </is>
      </c>
      <c r="I287" s="2" t="n">
        <v>7975.97</v>
      </c>
      <c r="J287" s="2" t="inlineStr">
        <is>
          <t>Online Banking</t>
        </is>
      </c>
      <c r="K287" s="2" t="inlineStr">
        <is>
          <t>N</t>
        </is>
      </c>
    </row>
    <row r="288">
      <c r="A288" s="2" t="inlineStr">
        <is>
          <t>TXN100288</t>
        </is>
      </c>
      <c r="B288" s="2" t="inlineStr">
        <is>
          <t xml:space="preserve">  CUST0288 </t>
        </is>
      </c>
      <c r="C288" s="2" t="inlineStr">
        <is>
          <t>2026-06-01 16:29:00</t>
        </is>
      </c>
      <c r="D288" s="2" t="inlineStr">
        <is>
          <t>Female</t>
        </is>
      </c>
      <c r="E288" s="2" t="n">
        <v>23</v>
      </c>
      <c r="F288" s="2" t="inlineStr">
        <is>
          <t>Investment</t>
        </is>
      </c>
      <c r="G288" s="2" t="inlineStr">
        <is>
          <t>Travel</t>
        </is>
      </c>
      <c r="H288" s="2" t="inlineStr">
        <is>
          <t>$7302.88</t>
        </is>
      </c>
      <c r="I288" s="2" t="n">
        <v>33134.57</v>
      </c>
      <c r="J288" s="2" t="inlineStr">
        <is>
          <t xml:space="preserve">Mobile App </t>
        </is>
      </c>
      <c r="K288" s="2" t="inlineStr">
        <is>
          <t>N</t>
        </is>
      </c>
    </row>
    <row r="289">
      <c r="A289" s="2" t="inlineStr">
        <is>
          <t>TXN100289</t>
        </is>
      </c>
      <c r="B289" s="2" t="inlineStr">
        <is>
          <t xml:space="preserve">  CUST0289 </t>
        </is>
      </c>
      <c r="C289" s="2" t="inlineStr">
        <is>
          <t>2026-06-01 17:26:00</t>
        </is>
      </c>
      <c r="D289" s="2" t="inlineStr">
        <is>
          <t>M</t>
        </is>
      </c>
      <c r="E289" s="2" t="n">
        <v>21</v>
      </c>
      <c r="F289" s="2" t="inlineStr">
        <is>
          <t>Investment</t>
        </is>
      </c>
      <c r="G289" s="2" t="inlineStr">
        <is>
          <t>Entertainment</t>
        </is>
      </c>
      <c r="H289" s="2" t="inlineStr">
        <is>
          <t>$4290.55</t>
        </is>
      </c>
      <c r="I289" s="2" t="n">
        <v>14691.08</v>
      </c>
      <c r="J289" s="2" t="inlineStr">
        <is>
          <t>ATM</t>
        </is>
      </c>
      <c r="K289" s="2" t="inlineStr">
        <is>
          <t>N</t>
        </is>
      </c>
    </row>
    <row r="290">
      <c r="A290" s="2" t="inlineStr">
        <is>
          <t>TXN100290</t>
        </is>
      </c>
      <c r="B290" s="2" t="inlineStr">
        <is>
          <t xml:space="preserve">  CUST0290 </t>
        </is>
      </c>
      <c r="C290" s="2" t="inlineStr">
        <is>
          <t>2026-06-01 05:06:00</t>
        </is>
      </c>
      <c r="D290" s="2" t="inlineStr">
        <is>
          <t>MALE</t>
        </is>
      </c>
      <c r="E290" s="2" t="n">
        <v>53</v>
      </c>
      <c r="F290" s="2" t="inlineStr">
        <is>
          <t>Savings</t>
        </is>
      </c>
      <c r="G290" s="2" t="inlineStr">
        <is>
          <t>GROCERIES</t>
        </is>
      </c>
      <c r="H290" s="2" t="inlineStr">
        <is>
          <t>$1543.54</t>
        </is>
      </c>
      <c r="I290" s="2" t="n">
        <v>26559.57</v>
      </c>
      <c r="J290" s="2" t="inlineStr">
        <is>
          <t>Branch Office</t>
        </is>
      </c>
      <c r="K290" s="2" t="inlineStr">
        <is>
          <t>N</t>
        </is>
      </c>
    </row>
    <row r="291">
      <c r="A291" s="2" t="inlineStr">
        <is>
          <t>TXN100291</t>
        </is>
      </c>
      <c r="B291" s="2" t="inlineStr">
        <is>
          <t xml:space="preserve">  CUST0291 </t>
        </is>
      </c>
      <c r="C291" s="2" t="inlineStr">
        <is>
          <t>2026-06-01 08:50:00</t>
        </is>
      </c>
      <c r="D291" s="3" t="inlineStr"/>
      <c r="E291" s="2" t="n">
        <v>25</v>
      </c>
      <c r="F291" s="2" t="inlineStr">
        <is>
          <t>Checking</t>
        </is>
      </c>
      <c r="G291" s="2" t="inlineStr">
        <is>
          <t>Utilities</t>
        </is>
      </c>
      <c r="H291" s="2" t="inlineStr">
        <is>
          <t>$3677.39</t>
        </is>
      </c>
      <c r="I291" s="2" t="n">
        <v>12538.79</v>
      </c>
      <c r="J291" s="2" t="inlineStr">
        <is>
          <t>Online Banking</t>
        </is>
      </c>
      <c r="K291" s="2" t="inlineStr">
        <is>
          <t>N</t>
        </is>
      </c>
    </row>
    <row r="292">
      <c r="A292" s="2" t="inlineStr">
        <is>
          <t>TXN100292</t>
        </is>
      </c>
      <c r="B292" s="2" t="inlineStr">
        <is>
          <t xml:space="preserve">  CUST0292 </t>
        </is>
      </c>
      <c r="C292" s="2" t="inlineStr">
        <is>
          <t>2026-06-01 09:43:00</t>
        </is>
      </c>
      <c r="D292" s="2" t="inlineStr">
        <is>
          <t>MALE</t>
        </is>
      </c>
      <c r="E292" s="2" t="n">
        <v>61</v>
      </c>
      <c r="F292" s="2" t="inlineStr">
        <is>
          <t>Investment</t>
        </is>
      </c>
      <c r="G292" s="2" t="inlineStr">
        <is>
          <t>groceries</t>
        </is>
      </c>
      <c r="H292" s="2" t="inlineStr">
        <is>
          <t>$757.07</t>
        </is>
      </c>
      <c r="I292" s="2" t="n">
        <v>19273.57</v>
      </c>
      <c r="J292" s="2" t="inlineStr">
        <is>
          <t>ATM</t>
        </is>
      </c>
      <c r="K292" s="2" t="inlineStr">
        <is>
          <t>N</t>
        </is>
      </c>
    </row>
    <row r="293">
      <c r="A293" s="2" t="inlineStr">
        <is>
          <t>TXN100293</t>
        </is>
      </c>
      <c r="B293" s="2" t="inlineStr">
        <is>
          <t xml:space="preserve">  CUST0293 </t>
        </is>
      </c>
      <c r="C293" s="2" t="inlineStr">
        <is>
          <t>2026-06-01 01:40:00</t>
        </is>
      </c>
      <c r="D293" s="2" t="inlineStr">
        <is>
          <t>M</t>
        </is>
      </c>
      <c r="E293" s="2" t="n">
        <v>64</v>
      </c>
      <c r="F293" s="2" t="inlineStr">
        <is>
          <t>Savings</t>
        </is>
      </c>
      <c r="G293" s="2" t="inlineStr">
        <is>
          <t>groceries</t>
        </is>
      </c>
      <c r="H293" s="2" t="inlineStr">
        <is>
          <t>$4003.87</t>
        </is>
      </c>
      <c r="I293" s="2" t="n">
        <v>21978.53</v>
      </c>
      <c r="J293" s="2" t="inlineStr">
        <is>
          <t>Branch Office</t>
        </is>
      </c>
      <c r="K293" s="2" t="inlineStr">
        <is>
          <t>N</t>
        </is>
      </c>
    </row>
    <row r="294">
      <c r="A294" s="2" t="inlineStr">
        <is>
          <t>TXN100294</t>
        </is>
      </c>
      <c r="B294" s="2" t="inlineStr">
        <is>
          <t xml:space="preserve">  CUST0294 </t>
        </is>
      </c>
      <c r="C294" s="2" t="inlineStr">
        <is>
          <t>2026-06-01 18:54:00</t>
        </is>
      </c>
      <c r="D294" s="2" t="inlineStr">
        <is>
          <t>MALE</t>
        </is>
      </c>
      <c r="E294" s="2" t="n">
        <v>53</v>
      </c>
      <c r="F294" s="2" t="inlineStr">
        <is>
          <t>Savings</t>
        </is>
      </c>
      <c r="G294" s="2" t="inlineStr">
        <is>
          <t>GROCERIES</t>
        </is>
      </c>
      <c r="H294" s="2" t="inlineStr">
        <is>
          <t>$1699.22</t>
        </is>
      </c>
      <c r="I294" s="2" t="n">
        <v>43471.79</v>
      </c>
      <c r="J294" s="2" t="inlineStr">
        <is>
          <t>ATM</t>
        </is>
      </c>
      <c r="K294" s="2" t="inlineStr">
        <is>
          <t>N</t>
        </is>
      </c>
    </row>
    <row r="295">
      <c r="A295" s="2" t="inlineStr">
        <is>
          <t>TXN100295</t>
        </is>
      </c>
      <c r="B295" s="2" t="inlineStr">
        <is>
          <t xml:space="preserve">  CUST0295 </t>
        </is>
      </c>
      <c r="C295" s="2" t="inlineStr">
        <is>
          <t>2026-06-01 08:02:00</t>
        </is>
      </c>
      <c r="D295" s="2" t="inlineStr">
        <is>
          <t>MALE</t>
        </is>
      </c>
      <c r="E295" s="2" t="n">
        <v>63</v>
      </c>
      <c r="F295" s="2" t="inlineStr">
        <is>
          <t>Checking</t>
        </is>
      </c>
      <c r="G295" s="2" t="inlineStr">
        <is>
          <t>Travel</t>
        </is>
      </c>
      <c r="H295" s="2" t="inlineStr">
        <is>
          <t>$4512.44</t>
        </is>
      </c>
      <c r="I295" s="2" t="n">
        <v>2128.64</v>
      </c>
      <c r="J295" s="2" t="inlineStr">
        <is>
          <t>Branch Office</t>
        </is>
      </c>
      <c r="K295" s="2" t="inlineStr">
        <is>
          <t>N</t>
        </is>
      </c>
    </row>
    <row r="296">
      <c r="A296" s="2" t="inlineStr">
        <is>
          <t>TXN100296</t>
        </is>
      </c>
      <c r="B296" s="2" t="inlineStr">
        <is>
          <t xml:space="preserve">  CUST0296 </t>
        </is>
      </c>
      <c r="C296" s="2" t="inlineStr">
        <is>
          <t>2026-06-01 00:13:00</t>
        </is>
      </c>
      <c r="D296" s="2" t="inlineStr">
        <is>
          <t>Male</t>
        </is>
      </c>
      <c r="E296" s="2" t="n">
        <v>68</v>
      </c>
      <c r="F296" s="2" t="inlineStr">
        <is>
          <t>Investment</t>
        </is>
      </c>
      <c r="G296" s="2" t="inlineStr">
        <is>
          <t>Utilities</t>
        </is>
      </c>
      <c r="H296" s="2" t="inlineStr">
        <is>
          <t>$7431.71</t>
        </is>
      </c>
      <c r="I296" s="2" t="n">
        <v>15314.21</v>
      </c>
      <c r="J296" s="2" t="inlineStr">
        <is>
          <t>Online Banking</t>
        </is>
      </c>
      <c r="K296" s="2" t="inlineStr">
        <is>
          <t>Y</t>
        </is>
      </c>
    </row>
    <row r="297">
      <c r="A297" s="2" t="inlineStr">
        <is>
          <t>TXN100297</t>
        </is>
      </c>
      <c r="B297" s="2" t="inlineStr">
        <is>
          <t xml:space="preserve">  CUST0297 </t>
        </is>
      </c>
      <c r="C297" s="2" t="inlineStr">
        <is>
          <t>2026-06-01 12:43:00</t>
        </is>
      </c>
      <c r="D297" s="2" t="inlineStr">
        <is>
          <t>Female</t>
        </is>
      </c>
      <c r="E297" s="2" t="n">
        <v>44</v>
      </c>
      <c r="F297" s="2" t="inlineStr">
        <is>
          <t>Investment</t>
        </is>
      </c>
      <c r="G297" s="2" t="inlineStr">
        <is>
          <t>GROCERIES</t>
        </is>
      </c>
      <c r="H297" s="2" t="inlineStr">
        <is>
          <t>$6326.08</t>
        </is>
      </c>
      <c r="I297" s="2" t="n">
        <v>34620.87</v>
      </c>
      <c r="J297" s="2" t="inlineStr">
        <is>
          <t xml:space="preserve">Mobile App </t>
        </is>
      </c>
      <c r="K297" s="2" t="inlineStr">
        <is>
          <t>N</t>
        </is>
      </c>
    </row>
    <row r="298">
      <c r="A298" s="2" t="inlineStr">
        <is>
          <t>TXN100298</t>
        </is>
      </c>
      <c r="B298" s="2" t="inlineStr">
        <is>
          <t xml:space="preserve">  CUST0298 </t>
        </is>
      </c>
      <c r="C298" s="2" t="inlineStr">
        <is>
          <t>2026-06-01 16:47:00</t>
        </is>
      </c>
      <c r="D298" s="2" t="inlineStr">
        <is>
          <t>Female</t>
        </is>
      </c>
      <c r="E298" s="2" t="n">
        <v>23</v>
      </c>
      <c r="F298" s="2" t="inlineStr">
        <is>
          <t>Savings</t>
        </is>
      </c>
      <c r="G298" s="2" t="inlineStr">
        <is>
          <t>Utilities</t>
        </is>
      </c>
      <c r="H298" s="2" t="inlineStr">
        <is>
          <t>$1864.83</t>
        </is>
      </c>
      <c r="I298" s="2" t="n">
        <v>4262.9</v>
      </c>
      <c r="J298" s="2" t="inlineStr">
        <is>
          <t>ATM</t>
        </is>
      </c>
      <c r="K298" s="2" t="inlineStr">
        <is>
          <t>N</t>
        </is>
      </c>
    </row>
    <row r="299">
      <c r="A299" s="2" t="inlineStr">
        <is>
          <t>TXN100299</t>
        </is>
      </c>
      <c r="B299" s="2" t="inlineStr">
        <is>
          <t xml:space="preserve">  CUST0299 </t>
        </is>
      </c>
      <c r="C299" s="2" t="inlineStr">
        <is>
          <t>2026-06-01 10:01:00</t>
        </is>
      </c>
      <c r="D299" s="2" t="inlineStr">
        <is>
          <t>female</t>
        </is>
      </c>
      <c r="E299" s="2" t="n">
        <v>70</v>
      </c>
      <c r="F299" s="2" t="inlineStr">
        <is>
          <t>Checking</t>
        </is>
      </c>
      <c r="G299" s="2" t="inlineStr">
        <is>
          <t>Utilities</t>
        </is>
      </c>
      <c r="H299" s="2" t="inlineStr">
        <is>
          <t>$1832.83</t>
        </is>
      </c>
      <c r="I299" s="2" t="n">
        <v>27875.37</v>
      </c>
      <c r="J299" s="2" t="inlineStr">
        <is>
          <t>ATM</t>
        </is>
      </c>
      <c r="K299" s="2" t="inlineStr">
        <is>
          <t>N</t>
        </is>
      </c>
    </row>
    <row r="300">
      <c r="A300" s="2" t="inlineStr">
        <is>
          <t>TXN100300</t>
        </is>
      </c>
      <c r="B300" s="2" t="inlineStr">
        <is>
          <t xml:space="preserve">  CUST0300 </t>
        </is>
      </c>
      <c r="C300" s="2" t="inlineStr">
        <is>
          <t>2026-06-01 13:11:00</t>
        </is>
      </c>
      <c r="D300" s="3" t="inlineStr"/>
      <c r="E300" s="2" t="n">
        <v>25</v>
      </c>
      <c r="F300" s="2" t="inlineStr">
        <is>
          <t>Investment</t>
        </is>
      </c>
      <c r="G300" s="2" t="inlineStr">
        <is>
          <t>Entertainment</t>
        </is>
      </c>
      <c r="H300" s="2" t="inlineStr">
        <is>
          <t>$6386.46</t>
        </is>
      </c>
      <c r="I300" s="2" t="n">
        <v>35798.87</v>
      </c>
      <c r="J300" s="2" t="inlineStr">
        <is>
          <t xml:space="preserve">Mobile App </t>
        </is>
      </c>
      <c r="K300" s="2" t="inlineStr">
        <is>
          <t>N</t>
        </is>
      </c>
    </row>
    <row r="301">
      <c r="A301" s="2" t="inlineStr">
        <is>
          <t>TXN100301</t>
        </is>
      </c>
      <c r="B301" s="2" t="inlineStr">
        <is>
          <t xml:space="preserve">  CUST0301 </t>
        </is>
      </c>
      <c r="C301" s="2" t="inlineStr">
        <is>
          <t>2026-06-01 08:09:00</t>
        </is>
      </c>
      <c r="D301" s="3" t="inlineStr"/>
      <c r="E301" s="2" t="n">
        <v>65</v>
      </c>
      <c r="F301" s="2" t="inlineStr">
        <is>
          <t>Investment</t>
        </is>
      </c>
      <c r="G301" s="2" t="inlineStr">
        <is>
          <t>GROCERIES</t>
        </is>
      </c>
      <c r="H301" s="2" t="inlineStr">
        <is>
          <t>$5919.85</t>
        </is>
      </c>
      <c r="I301" s="2" t="n">
        <v>16175.57</v>
      </c>
      <c r="J301" s="2" t="inlineStr">
        <is>
          <t xml:space="preserve">Mobile App </t>
        </is>
      </c>
      <c r="K301" s="2" t="inlineStr">
        <is>
          <t>N</t>
        </is>
      </c>
    </row>
    <row r="302">
      <c r="A302" s="2" t="inlineStr">
        <is>
          <t>TXN100302</t>
        </is>
      </c>
      <c r="B302" s="2" t="inlineStr">
        <is>
          <t xml:space="preserve">  CUST0302 </t>
        </is>
      </c>
      <c r="C302" s="2" t="inlineStr">
        <is>
          <t>2026-06-01 02:00:00</t>
        </is>
      </c>
      <c r="D302" s="2" t="inlineStr">
        <is>
          <t>female</t>
        </is>
      </c>
      <c r="E302" s="2" t="n">
        <v>48</v>
      </c>
      <c r="F302" s="2" t="inlineStr">
        <is>
          <t>Checking</t>
        </is>
      </c>
      <c r="G302" s="2" t="inlineStr">
        <is>
          <t>Entertainment</t>
        </is>
      </c>
      <c r="H302" s="2" t="inlineStr">
        <is>
          <t>$826.83</t>
        </is>
      </c>
      <c r="I302" s="2" t="n">
        <v>4821.21</v>
      </c>
      <c r="J302" s="2" t="inlineStr">
        <is>
          <t>ATM</t>
        </is>
      </c>
      <c r="K302" s="2" t="inlineStr">
        <is>
          <t>N</t>
        </is>
      </c>
    </row>
    <row r="303">
      <c r="A303" s="2" t="inlineStr">
        <is>
          <t>TXN100303</t>
        </is>
      </c>
      <c r="B303" s="2" t="inlineStr">
        <is>
          <t xml:space="preserve">  CUST0303 </t>
        </is>
      </c>
      <c r="C303" s="2" t="inlineStr">
        <is>
          <t>2026-06-01 14:35:00</t>
        </is>
      </c>
      <c r="D303" s="3" t="inlineStr"/>
      <c r="E303" s="2" t="n">
        <v>26</v>
      </c>
      <c r="F303" s="2" t="inlineStr">
        <is>
          <t>Savings</t>
        </is>
      </c>
      <c r="G303" s="2" t="inlineStr">
        <is>
          <t>groceries</t>
        </is>
      </c>
      <c r="H303" s="2" t="inlineStr">
        <is>
          <t>$2837.78</t>
        </is>
      </c>
      <c r="I303" s="2" t="n">
        <v>5106.68</v>
      </c>
      <c r="J303" s="2" t="inlineStr">
        <is>
          <t>Branch Office</t>
        </is>
      </c>
      <c r="K303" s="2" t="inlineStr">
        <is>
          <t>N</t>
        </is>
      </c>
    </row>
    <row r="304">
      <c r="A304" s="2" t="inlineStr">
        <is>
          <t>TXN100304</t>
        </is>
      </c>
      <c r="B304" s="2" t="inlineStr">
        <is>
          <t xml:space="preserve">  CUST0304 </t>
        </is>
      </c>
      <c r="C304" s="2" t="inlineStr">
        <is>
          <t>2026-06-01 12:00:00</t>
        </is>
      </c>
      <c r="D304" s="2" t="inlineStr">
        <is>
          <t>female</t>
        </is>
      </c>
      <c r="E304" s="2" t="n">
        <v>46</v>
      </c>
      <c r="F304" s="2" t="inlineStr">
        <is>
          <t>Checking</t>
        </is>
      </c>
      <c r="G304" s="2" t="inlineStr">
        <is>
          <t>groceries</t>
        </is>
      </c>
      <c r="H304" s="2" t="inlineStr">
        <is>
          <t>$5801.5</t>
        </is>
      </c>
      <c r="I304" s="2" t="n">
        <v>28197.06</v>
      </c>
      <c r="J304" s="2" t="inlineStr">
        <is>
          <t>Online Banking</t>
        </is>
      </c>
      <c r="K304" s="2" t="inlineStr">
        <is>
          <t>N</t>
        </is>
      </c>
    </row>
    <row r="305">
      <c r="A305" s="2" t="inlineStr">
        <is>
          <t>TXN100305</t>
        </is>
      </c>
      <c r="B305" s="2" t="inlineStr">
        <is>
          <t xml:space="preserve">  CUST0305 </t>
        </is>
      </c>
      <c r="C305" s="2" t="inlineStr">
        <is>
          <t>2026-06-01 18:33:00</t>
        </is>
      </c>
      <c r="D305" s="2" t="inlineStr">
        <is>
          <t>Male</t>
        </is>
      </c>
      <c r="E305" s="2" t="n">
        <v>63</v>
      </c>
      <c r="F305" s="2" t="inlineStr">
        <is>
          <t>Checking</t>
        </is>
      </c>
      <c r="G305" s="2" t="inlineStr">
        <is>
          <t>GROCERIES</t>
        </is>
      </c>
      <c r="H305" s="2" t="inlineStr">
        <is>
          <t>$1119.33</t>
        </is>
      </c>
      <c r="I305" s="2" t="n">
        <v>15406</v>
      </c>
      <c r="J305" s="2" t="inlineStr">
        <is>
          <t>ATM</t>
        </is>
      </c>
      <c r="K305" s="2" t="inlineStr">
        <is>
          <t>N</t>
        </is>
      </c>
    </row>
    <row r="306">
      <c r="A306" s="2" t="inlineStr">
        <is>
          <t>TXN100306</t>
        </is>
      </c>
      <c r="B306" s="2" t="inlineStr">
        <is>
          <t xml:space="preserve">  CUST0306 </t>
        </is>
      </c>
      <c r="C306" s="2" t="inlineStr">
        <is>
          <t>2026-06-01 04:04:00</t>
        </is>
      </c>
      <c r="D306" s="2" t="inlineStr">
        <is>
          <t>Male</t>
        </is>
      </c>
      <c r="E306" s="2" t="n">
        <v>47</v>
      </c>
      <c r="F306" s="2" t="inlineStr">
        <is>
          <t>Checking</t>
        </is>
      </c>
      <c r="G306" s="2" t="inlineStr">
        <is>
          <t>Utilities</t>
        </is>
      </c>
      <c r="H306" s="2" t="inlineStr">
        <is>
          <t>$2405.02</t>
        </is>
      </c>
      <c r="I306" s="2" t="n">
        <v>39242</v>
      </c>
      <c r="J306" s="2" t="inlineStr">
        <is>
          <t>Branch Office</t>
        </is>
      </c>
      <c r="K306" s="2" t="inlineStr">
        <is>
          <t>N</t>
        </is>
      </c>
    </row>
    <row r="307">
      <c r="A307" s="2" t="inlineStr">
        <is>
          <t>TXN100307</t>
        </is>
      </c>
      <c r="B307" s="2" t="inlineStr">
        <is>
          <t xml:space="preserve">  CUST0307 </t>
        </is>
      </c>
      <c r="C307" s="2" t="inlineStr">
        <is>
          <t>2026-06-01 08:15:00</t>
        </is>
      </c>
      <c r="D307" s="2" t="n"/>
      <c r="E307" s="2" t="n">
        <v>58</v>
      </c>
      <c r="F307" s="2" t="inlineStr">
        <is>
          <t>Investment</t>
        </is>
      </c>
      <c r="G307" s="2" t="inlineStr">
        <is>
          <t>GROCERIES</t>
        </is>
      </c>
      <c r="H307" s="2" t="inlineStr">
        <is>
          <t>$3668.31</t>
        </is>
      </c>
      <c r="I307" s="2" t="n">
        <v>7206.73</v>
      </c>
      <c r="J307" s="2" t="inlineStr">
        <is>
          <t xml:space="preserve">Mobile App </t>
        </is>
      </c>
      <c r="K307" s="2" t="inlineStr">
        <is>
          <t>N</t>
        </is>
      </c>
    </row>
    <row r="308">
      <c r="A308" s="2" t="inlineStr">
        <is>
          <t>TXN100308</t>
        </is>
      </c>
      <c r="B308" s="2" t="inlineStr">
        <is>
          <t xml:space="preserve">  CUST0308 </t>
        </is>
      </c>
      <c r="C308" s="2" t="inlineStr">
        <is>
          <t>2026-06-01 12:21:00</t>
        </is>
      </c>
      <c r="D308" s="3" t="inlineStr"/>
      <c r="E308" s="2" t="n">
        <v>71</v>
      </c>
      <c r="F308" s="2" t="inlineStr">
        <is>
          <t>Checking</t>
        </is>
      </c>
      <c r="G308" s="2" t="inlineStr">
        <is>
          <t>Utilities</t>
        </is>
      </c>
      <c r="H308" s="2" t="inlineStr">
        <is>
          <t>$2684.54</t>
        </is>
      </c>
      <c r="I308" s="2" t="n">
        <v>40866.04</v>
      </c>
      <c r="J308" s="2" t="inlineStr">
        <is>
          <t>Online Banking</t>
        </is>
      </c>
      <c r="K308" s="2" t="inlineStr">
        <is>
          <t>N</t>
        </is>
      </c>
    </row>
    <row r="309">
      <c r="A309" s="2" t="inlineStr">
        <is>
          <t>TXN100309</t>
        </is>
      </c>
      <c r="B309" s="2" t="inlineStr">
        <is>
          <t xml:space="preserve">  CUST0309 </t>
        </is>
      </c>
      <c r="C309" s="2" t="inlineStr">
        <is>
          <t>2026-06-01 09:20:00</t>
        </is>
      </c>
      <c r="D309" s="2" t="inlineStr">
        <is>
          <t>F</t>
        </is>
      </c>
      <c r="E309" s="2" t="n">
        <v>50</v>
      </c>
      <c r="F309" s="2" t="inlineStr">
        <is>
          <t>Checking</t>
        </is>
      </c>
      <c r="G309" s="2" t="inlineStr">
        <is>
          <t>GROCERIES</t>
        </is>
      </c>
      <c r="H309" s="2" t="inlineStr">
        <is>
          <t>$7716.95</t>
        </is>
      </c>
      <c r="I309" s="2" t="n">
        <v>48451.9</v>
      </c>
      <c r="J309" s="2" t="inlineStr">
        <is>
          <t>Branch Office</t>
        </is>
      </c>
      <c r="K309" s="2" t="inlineStr">
        <is>
          <t>Y</t>
        </is>
      </c>
    </row>
    <row r="310">
      <c r="A310" s="2" t="inlineStr">
        <is>
          <t>TXN100310</t>
        </is>
      </c>
      <c r="B310" s="2" t="inlineStr">
        <is>
          <t xml:space="preserve">  CUST0310 </t>
        </is>
      </c>
      <c r="C310" s="2" t="inlineStr">
        <is>
          <t>2026-06-01 20:31:00</t>
        </is>
      </c>
      <c r="D310" s="2" t="inlineStr">
        <is>
          <t>F</t>
        </is>
      </c>
      <c r="E310" s="2" t="n">
        <v>40</v>
      </c>
      <c r="F310" s="2" t="inlineStr">
        <is>
          <t>Checking</t>
        </is>
      </c>
      <c r="G310" s="2" t="inlineStr">
        <is>
          <t>Entertainment</t>
        </is>
      </c>
      <c r="H310" s="2" t="inlineStr">
        <is>
          <t>$6533.79</t>
        </is>
      </c>
      <c r="I310" s="2" t="n">
        <v>19950.29</v>
      </c>
      <c r="J310" s="2" t="inlineStr">
        <is>
          <t xml:space="preserve">Mobile App </t>
        </is>
      </c>
      <c r="K310" s="2" t="inlineStr">
        <is>
          <t>N</t>
        </is>
      </c>
    </row>
    <row r="311">
      <c r="A311" s="2" t="inlineStr">
        <is>
          <t>TXN100311</t>
        </is>
      </c>
      <c r="B311" s="2" t="inlineStr">
        <is>
          <t xml:space="preserve">  CUST0311 </t>
        </is>
      </c>
      <c r="C311" s="2" t="inlineStr">
        <is>
          <t>2026-06-01 18:12:00</t>
        </is>
      </c>
      <c r="D311" s="2" t="inlineStr">
        <is>
          <t>Male</t>
        </is>
      </c>
      <c r="E311" s="2" t="n">
        <v>63</v>
      </c>
      <c r="F311" s="2" t="inlineStr">
        <is>
          <t>Investment</t>
        </is>
      </c>
      <c r="G311" s="2" t="inlineStr">
        <is>
          <t>groceries</t>
        </is>
      </c>
      <c r="H311" s="2" t="inlineStr">
        <is>
          <t>$7624.51</t>
        </is>
      </c>
      <c r="I311" s="2" t="n">
        <v>23350.3</v>
      </c>
      <c r="J311" s="2" t="inlineStr">
        <is>
          <t>Online Banking</t>
        </is>
      </c>
      <c r="K311" s="2" t="inlineStr">
        <is>
          <t>N</t>
        </is>
      </c>
    </row>
    <row r="312">
      <c r="A312" s="2" t="inlineStr">
        <is>
          <t>TXN100312</t>
        </is>
      </c>
      <c r="B312" s="2" t="inlineStr">
        <is>
          <t xml:space="preserve">  CUST0312 </t>
        </is>
      </c>
      <c r="C312" s="2" t="inlineStr">
        <is>
          <t>2026-06-01 09:53:00</t>
        </is>
      </c>
      <c r="D312" s="2" t="inlineStr">
        <is>
          <t>MALE</t>
        </is>
      </c>
      <c r="E312" s="2" t="n">
        <v>72</v>
      </c>
      <c r="F312" s="2" t="inlineStr">
        <is>
          <t>Checking</t>
        </is>
      </c>
      <c r="G312" s="2" t="inlineStr">
        <is>
          <t>Utilities</t>
        </is>
      </c>
      <c r="H312" s="2" t="inlineStr">
        <is>
          <t>$1122.04</t>
        </is>
      </c>
      <c r="I312" s="2" t="n">
        <v>15490.22</v>
      </c>
      <c r="J312" s="2" t="inlineStr">
        <is>
          <t>Branch Office</t>
        </is>
      </c>
      <c r="K312" s="2" t="inlineStr">
        <is>
          <t>N</t>
        </is>
      </c>
    </row>
    <row r="313">
      <c r="A313" s="2" t="inlineStr">
        <is>
          <t>TXN100313</t>
        </is>
      </c>
      <c r="B313" s="2" t="inlineStr">
        <is>
          <t xml:space="preserve">  CUST0313 </t>
        </is>
      </c>
      <c r="C313" s="2" t="inlineStr">
        <is>
          <t>2026-06-01 21:09:00</t>
        </is>
      </c>
      <c r="D313" s="3" t="inlineStr"/>
      <c r="E313" s="2" t="n">
        <v>70</v>
      </c>
      <c r="F313" s="2" t="inlineStr">
        <is>
          <t>Checking</t>
        </is>
      </c>
      <c r="G313" s="2" t="inlineStr">
        <is>
          <t>groceries</t>
        </is>
      </c>
      <c r="H313" s="2" t="inlineStr">
        <is>
          <t>$3598.04</t>
        </is>
      </c>
      <c r="I313" s="2" t="n">
        <v>30097.73</v>
      </c>
      <c r="J313" s="2" t="inlineStr">
        <is>
          <t>ATM</t>
        </is>
      </c>
      <c r="K313" s="2" t="inlineStr">
        <is>
          <t>N</t>
        </is>
      </c>
    </row>
    <row r="314">
      <c r="A314" s="2" t="inlineStr">
        <is>
          <t>TXN100314</t>
        </is>
      </c>
      <c r="B314" s="2" t="inlineStr">
        <is>
          <t xml:space="preserve">  CUST0314 </t>
        </is>
      </c>
      <c r="C314" s="2" t="inlineStr">
        <is>
          <t>2026-06-01 17:32:00</t>
        </is>
      </c>
      <c r="D314" s="3" t="inlineStr"/>
      <c r="E314" s="2" t="n">
        <v>54</v>
      </c>
      <c r="F314" s="2" t="inlineStr">
        <is>
          <t>Savings</t>
        </is>
      </c>
      <c r="G314" s="2" t="inlineStr">
        <is>
          <t>Entertainment</t>
        </is>
      </c>
      <c r="H314" s="2" t="inlineStr">
        <is>
          <t>$5616.06</t>
        </is>
      </c>
      <c r="I314" s="2" t="n">
        <v>40708.7</v>
      </c>
      <c r="J314" s="2" t="inlineStr">
        <is>
          <t xml:space="preserve">Mobile App </t>
        </is>
      </c>
      <c r="K314" s="2" t="inlineStr">
        <is>
          <t>N</t>
        </is>
      </c>
    </row>
    <row r="315">
      <c r="A315" s="2" t="inlineStr">
        <is>
          <t>TXN100315</t>
        </is>
      </c>
      <c r="B315" s="2" t="inlineStr">
        <is>
          <t xml:space="preserve">  CUST0315 </t>
        </is>
      </c>
      <c r="C315" s="2" t="inlineStr">
        <is>
          <t>2026-06-01 03:49:00</t>
        </is>
      </c>
      <c r="D315" s="2" t="inlineStr">
        <is>
          <t>F</t>
        </is>
      </c>
      <c r="E315" s="2" t="n">
        <v>62</v>
      </c>
      <c r="F315" s="2" t="inlineStr">
        <is>
          <t>Investment</t>
        </is>
      </c>
      <c r="G315" s="2" t="inlineStr">
        <is>
          <t>Entertainment</t>
        </is>
      </c>
      <c r="H315" s="2" t="inlineStr">
        <is>
          <t>$1339.04</t>
        </is>
      </c>
      <c r="I315" s="2" t="n">
        <v>30827.56</v>
      </c>
      <c r="J315" s="2" t="inlineStr">
        <is>
          <t>ATM</t>
        </is>
      </c>
      <c r="K315" s="2" t="inlineStr">
        <is>
          <t>N</t>
        </is>
      </c>
    </row>
    <row r="316">
      <c r="A316" s="2" t="inlineStr">
        <is>
          <t>TXN100316</t>
        </is>
      </c>
      <c r="B316" s="2" t="inlineStr">
        <is>
          <t xml:space="preserve">  CUST0316 </t>
        </is>
      </c>
      <c r="C316" s="2" t="inlineStr">
        <is>
          <t>2026-06-01 10:50:00</t>
        </is>
      </c>
      <c r="D316" s="3" t="inlineStr"/>
      <c r="E316" s="2" t="n">
        <v>26</v>
      </c>
      <c r="F316" s="2" t="inlineStr">
        <is>
          <t>Savings</t>
        </is>
      </c>
      <c r="G316" s="2" t="inlineStr">
        <is>
          <t>groceries</t>
        </is>
      </c>
      <c r="H316" s="2" t="inlineStr">
        <is>
          <t>$2077.32</t>
        </is>
      </c>
      <c r="I316" s="2" t="n">
        <v>25778.47</v>
      </c>
      <c r="J316" s="2" t="inlineStr">
        <is>
          <t>Online Banking</t>
        </is>
      </c>
      <c r="K316" s="2" t="inlineStr">
        <is>
          <t>N</t>
        </is>
      </c>
    </row>
    <row r="317">
      <c r="A317" s="2" t="inlineStr">
        <is>
          <t>TXN100317</t>
        </is>
      </c>
      <c r="B317" s="2" t="inlineStr">
        <is>
          <t xml:space="preserve">  CUST0317 </t>
        </is>
      </c>
      <c r="C317" s="2" t="inlineStr">
        <is>
          <t>2026-06-01 14:23:00</t>
        </is>
      </c>
      <c r="D317" s="3" t="inlineStr"/>
      <c r="E317" s="2" t="n">
        <v>49</v>
      </c>
      <c r="F317" s="2" t="inlineStr">
        <is>
          <t>Investment</t>
        </is>
      </c>
      <c r="G317" s="2" t="inlineStr">
        <is>
          <t>Travel</t>
        </is>
      </c>
      <c r="H317" s="2" t="inlineStr">
        <is>
          <t>$5526.59</t>
        </is>
      </c>
      <c r="I317" s="2" t="n">
        <v>7961.87</v>
      </c>
      <c r="J317" s="2" t="inlineStr">
        <is>
          <t xml:space="preserve">Mobile App </t>
        </is>
      </c>
      <c r="K317" s="2" t="inlineStr">
        <is>
          <t>N</t>
        </is>
      </c>
    </row>
    <row r="318">
      <c r="A318" s="2" t="inlineStr">
        <is>
          <t>TXN100318</t>
        </is>
      </c>
      <c r="B318" s="2" t="inlineStr">
        <is>
          <t xml:space="preserve">  CUST0318 </t>
        </is>
      </c>
      <c r="C318" s="2" t="inlineStr">
        <is>
          <t>2026-06-01 15:06:00</t>
        </is>
      </c>
      <c r="D318" s="2" t="inlineStr">
        <is>
          <t>female</t>
        </is>
      </c>
      <c r="E318" s="2" t="n">
        <v>46</v>
      </c>
      <c r="F318" s="2" t="inlineStr">
        <is>
          <t>Savings</t>
        </is>
      </c>
      <c r="G318" s="2" t="inlineStr">
        <is>
          <t>groceries</t>
        </is>
      </c>
      <c r="H318" s="2" t="inlineStr">
        <is>
          <t>$6652.23</t>
        </is>
      </c>
      <c r="I318" s="2" t="n">
        <v>36642.46</v>
      </c>
      <c r="J318" s="2" t="inlineStr">
        <is>
          <t>Branch Office</t>
        </is>
      </c>
      <c r="K318" s="2" t="inlineStr">
        <is>
          <t>N</t>
        </is>
      </c>
    </row>
    <row r="319">
      <c r="A319" s="2" t="inlineStr">
        <is>
          <t>TXN100319</t>
        </is>
      </c>
      <c r="B319" s="2" t="inlineStr">
        <is>
          <t xml:space="preserve">  CUST0319 </t>
        </is>
      </c>
      <c r="C319" s="2" t="inlineStr">
        <is>
          <t>2026-06-01 09:21:00</t>
        </is>
      </c>
      <c r="D319" s="2" t="n"/>
      <c r="E319" s="2" t="n">
        <v>70</v>
      </c>
      <c r="F319" s="2" t="inlineStr">
        <is>
          <t>Savings</t>
        </is>
      </c>
      <c r="G319" s="2" t="inlineStr">
        <is>
          <t>Travel</t>
        </is>
      </c>
      <c r="H319" s="2" t="inlineStr">
        <is>
          <t>$3868.58</t>
        </is>
      </c>
      <c r="I319" s="2" t="n">
        <v>24070.05</v>
      </c>
      <c r="J319" s="2" t="inlineStr">
        <is>
          <t>ATM</t>
        </is>
      </c>
      <c r="K319" s="2" t="inlineStr">
        <is>
          <t>N</t>
        </is>
      </c>
    </row>
    <row r="320">
      <c r="A320" s="2" t="inlineStr">
        <is>
          <t>TXN100320</t>
        </is>
      </c>
      <c r="B320" s="2" t="inlineStr">
        <is>
          <t xml:space="preserve">  CUST0320 </t>
        </is>
      </c>
      <c r="C320" s="2" t="inlineStr">
        <is>
          <t>2026-06-01 23:44:00</t>
        </is>
      </c>
      <c r="D320" s="2" t="n"/>
      <c r="E320" s="2" t="n">
        <v>40</v>
      </c>
      <c r="F320" s="2" t="inlineStr">
        <is>
          <t>Savings</t>
        </is>
      </c>
      <c r="G320" s="2" t="inlineStr">
        <is>
          <t>Entertainment</t>
        </is>
      </c>
      <c r="H320" s="2" t="inlineStr">
        <is>
          <t>$367.02</t>
        </is>
      </c>
      <c r="I320" s="2" t="n">
        <v>35683.56</v>
      </c>
      <c r="J320" s="2" t="inlineStr">
        <is>
          <t xml:space="preserve">Mobile App </t>
        </is>
      </c>
      <c r="K320" s="2" t="inlineStr">
        <is>
          <t>N</t>
        </is>
      </c>
    </row>
    <row r="321">
      <c r="A321" s="2" t="inlineStr">
        <is>
          <t>TXN100321</t>
        </is>
      </c>
      <c r="B321" s="2" t="inlineStr">
        <is>
          <t xml:space="preserve">  CUST0321 </t>
        </is>
      </c>
      <c r="C321" s="2" t="inlineStr">
        <is>
          <t>2026-06-01 10:41:00</t>
        </is>
      </c>
      <c r="D321" s="2" t="inlineStr">
        <is>
          <t>MALE</t>
        </is>
      </c>
      <c r="E321" s="2" t="n">
        <v>63</v>
      </c>
      <c r="F321" s="2" t="inlineStr">
        <is>
          <t>Savings</t>
        </is>
      </c>
      <c r="G321" s="2" t="inlineStr">
        <is>
          <t>GROCERIES</t>
        </is>
      </c>
      <c r="H321" s="2" t="inlineStr">
        <is>
          <t>$4132.79</t>
        </is>
      </c>
      <c r="I321" s="2" t="n">
        <v>27819.56</v>
      </c>
      <c r="J321" s="2" t="inlineStr">
        <is>
          <t>Branch Office</t>
        </is>
      </c>
      <c r="K321" s="2" t="inlineStr">
        <is>
          <t>N</t>
        </is>
      </c>
    </row>
    <row r="322">
      <c r="A322" s="2" t="inlineStr">
        <is>
          <t>TXN100322</t>
        </is>
      </c>
      <c r="B322" s="2" t="inlineStr">
        <is>
          <t xml:space="preserve">  CUST0322 </t>
        </is>
      </c>
      <c r="C322" s="2" t="inlineStr">
        <is>
          <t>2026-06-01 17:27:00</t>
        </is>
      </c>
      <c r="D322" s="2" t="n"/>
      <c r="E322" s="2" t="n">
        <v>34</v>
      </c>
      <c r="F322" s="2" t="inlineStr">
        <is>
          <t>Checking</t>
        </is>
      </c>
      <c r="G322" s="2" t="inlineStr">
        <is>
          <t>GROCERIES</t>
        </is>
      </c>
      <c r="H322" s="2" t="inlineStr">
        <is>
          <t>$1499.23</t>
        </is>
      </c>
      <c r="I322" s="2" t="n">
        <v>33036.74</v>
      </c>
      <c r="J322" s="2" t="inlineStr">
        <is>
          <t>ATM</t>
        </is>
      </c>
      <c r="K322" s="2" t="inlineStr">
        <is>
          <t>N</t>
        </is>
      </c>
    </row>
    <row r="323">
      <c r="A323" s="2" t="inlineStr">
        <is>
          <t>TXN100323</t>
        </is>
      </c>
      <c r="B323" s="2" t="inlineStr">
        <is>
          <t xml:space="preserve">  CUST0323 </t>
        </is>
      </c>
      <c r="C323" s="2" t="inlineStr">
        <is>
          <t>2026-06-01 00:47:00</t>
        </is>
      </c>
      <c r="D323" s="2" t="inlineStr">
        <is>
          <t>F</t>
        </is>
      </c>
      <c r="E323" s="2" t="n">
        <v>48</v>
      </c>
      <c r="F323" s="2" t="inlineStr">
        <is>
          <t>Investment</t>
        </is>
      </c>
      <c r="G323" s="2" t="inlineStr">
        <is>
          <t>Utilities</t>
        </is>
      </c>
      <c r="H323" s="2" t="inlineStr">
        <is>
          <t>$3116.8</t>
        </is>
      </c>
      <c r="I323" s="2" t="n">
        <v>35384.41</v>
      </c>
      <c r="J323" s="2" t="inlineStr">
        <is>
          <t>Online Banking</t>
        </is>
      </c>
      <c r="K323" s="2" t="inlineStr">
        <is>
          <t>N</t>
        </is>
      </c>
    </row>
    <row r="324">
      <c r="A324" s="2" t="inlineStr">
        <is>
          <t>TXN100324</t>
        </is>
      </c>
      <c r="B324" s="2" t="inlineStr">
        <is>
          <t xml:space="preserve">  CUST0324 </t>
        </is>
      </c>
      <c r="C324" s="2" t="inlineStr">
        <is>
          <t>2026-06-01 08:48:00</t>
        </is>
      </c>
      <c r="D324" s="2" t="inlineStr">
        <is>
          <t>MALE</t>
        </is>
      </c>
      <c r="E324" s="2" t="n">
        <v>56</v>
      </c>
      <c r="F324" s="2" t="inlineStr">
        <is>
          <t>Savings</t>
        </is>
      </c>
      <c r="G324" s="2" t="inlineStr">
        <is>
          <t>Travel</t>
        </is>
      </c>
      <c r="H324" s="2" t="inlineStr">
        <is>
          <t>$1503.81</t>
        </is>
      </c>
      <c r="I324" s="2" t="n">
        <v>16636.25</v>
      </c>
      <c r="J324" s="2" t="inlineStr">
        <is>
          <t>ATM</t>
        </is>
      </c>
      <c r="K324" s="2" t="inlineStr">
        <is>
          <t>N</t>
        </is>
      </c>
    </row>
    <row r="325">
      <c r="A325" s="2" t="inlineStr">
        <is>
          <t>TXN100325</t>
        </is>
      </c>
      <c r="B325" s="2" t="inlineStr">
        <is>
          <t xml:space="preserve">  CUST0325 </t>
        </is>
      </c>
      <c r="C325" s="2" t="inlineStr">
        <is>
          <t>2026-06-01 03:16:00</t>
        </is>
      </c>
      <c r="D325" s="2" t="n"/>
      <c r="E325" s="2" t="n">
        <v>53</v>
      </c>
      <c r="F325" s="2" t="inlineStr">
        <is>
          <t>Investment</t>
        </is>
      </c>
      <c r="G325" s="2" t="inlineStr">
        <is>
          <t>Entertainment</t>
        </is>
      </c>
      <c r="H325" s="2" t="inlineStr">
        <is>
          <t>$4779.8</t>
        </is>
      </c>
      <c r="I325" s="2" t="n">
        <v>30759.77</v>
      </c>
      <c r="J325" s="2" t="inlineStr">
        <is>
          <t xml:space="preserve">Mobile App </t>
        </is>
      </c>
      <c r="K325" s="2" t="inlineStr">
        <is>
          <t>N</t>
        </is>
      </c>
    </row>
    <row r="326">
      <c r="A326" s="2" t="inlineStr">
        <is>
          <t>TXN100326</t>
        </is>
      </c>
      <c r="B326" s="2" t="inlineStr">
        <is>
          <t xml:space="preserve">  CUST0326 </t>
        </is>
      </c>
      <c r="C326" s="2" t="inlineStr">
        <is>
          <t>2026-06-01 11:22:00</t>
        </is>
      </c>
      <c r="D326" s="2" t="n"/>
      <c r="E326" s="2" t="n">
        <v>59</v>
      </c>
      <c r="F326" s="2" t="inlineStr">
        <is>
          <t>Savings</t>
        </is>
      </c>
      <c r="G326" s="2" t="inlineStr">
        <is>
          <t>Entertainment</t>
        </is>
      </c>
      <c r="H326" s="2" t="inlineStr">
        <is>
          <t>$7350.27</t>
        </is>
      </c>
      <c r="I326" s="2" t="n">
        <v>29713.33</v>
      </c>
      <c r="J326" s="2" t="inlineStr">
        <is>
          <t>Online Banking</t>
        </is>
      </c>
      <c r="K326" s="2" t="inlineStr">
        <is>
          <t>N</t>
        </is>
      </c>
    </row>
    <row r="327">
      <c r="A327" s="2" t="inlineStr">
        <is>
          <t>TXN100327</t>
        </is>
      </c>
      <c r="B327" s="2" t="inlineStr">
        <is>
          <t xml:space="preserve">  CUST0327 </t>
        </is>
      </c>
      <c r="C327" s="2" t="inlineStr">
        <is>
          <t>2026-06-01 07:19:00</t>
        </is>
      </c>
      <c r="D327" s="2" t="inlineStr">
        <is>
          <t>MALE</t>
        </is>
      </c>
      <c r="E327" s="2" t="n">
        <v>31</v>
      </c>
      <c r="F327" s="2" t="inlineStr">
        <is>
          <t>Checking</t>
        </is>
      </c>
      <c r="G327" s="2" t="inlineStr">
        <is>
          <t>GROCERIES</t>
        </is>
      </c>
      <c r="H327" s="2" t="inlineStr">
        <is>
          <t>$4091.49</t>
        </is>
      </c>
      <c r="I327" s="2" t="n">
        <v>21202.84</v>
      </c>
      <c r="J327" s="2" t="inlineStr">
        <is>
          <t>Online Banking</t>
        </is>
      </c>
      <c r="K327" s="2" t="inlineStr">
        <is>
          <t>N</t>
        </is>
      </c>
    </row>
    <row r="328">
      <c r="A328" s="2" t="inlineStr">
        <is>
          <t>TXN100328</t>
        </is>
      </c>
      <c r="B328" s="2" t="inlineStr">
        <is>
          <t xml:space="preserve">  CUST0328 </t>
        </is>
      </c>
      <c r="C328" s="2" t="inlineStr">
        <is>
          <t>2026-06-01 18:24:00</t>
        </is>
      </c>
      <c r="D328" s="3" t="inlineStr"/>
      <c r="E328" s="2" t="n">
        <v>31</v>
      </c>
      <c r="F328" s="2" t="inlineStr">
        <is>
          <t>Checking</t>
        </is>
      </c>
      <c r="G328" s="2" t="inlineStr">
        <is>
          <t>Travel</t>
        </is>
      </c>
      <c r="H328" s="2" t="inlineStr">
        <is>
          <t>$5550.53</t>
        </is>
      </c>
      <c r="I328" s="2" t="n">
        <v>32440.37</v>
      </c>
      <c r="J328" s="2" t="inlineStr">
        <is>
          <t>Online Banking</t>
        </is>
      </c>
      <c r="K328" s="2" t="inlineStr">
        <is>
          <t>N</t>
        </is>
      </c>
    </row>
    <row r="329">
      <c r="A329" s="2" t="inlineStr">
        <is>
          <t>TXN100329</t>
        </is>
      </c>
      <c r="B329" s="2" t="inlineStr">
        <is>
          <t xml:space="preserve">  CUST0329 </t>
        </is>
      </c>
      <c r="C329" s="2" t="inlineStr">
        <is>
          <t>2026-06-01 17:10:00</t>
        </is>
      </c>
      <c r="D329" s="2" t="n"/>
      <c r="E329" s="2" t="n">
        <v>38</v>
      </c>
      <c r="F329" s="2" t="inlineStr">
        <is>
          <t>Savings</t>
        </is>
      </c>
      <c r="G329" s="2" t="inlineStr">
        <is>
          <t>GROCERIES</t>
        </is>
      </c>
      <c r="H329" s="2" t="inlineStr">
        <is>
          <t>$2523.49</t>
        </is>
      </c>
      <c r="I329" s="2" t="n">
        <v>22824.55</v>
      </c>
      <c r="J329" s="2" t="inlineStr">
        <is>
          <t xml:space="preserve">Mobile App </t>
        </is>
      </c>
      <c r="K329" s="2" t="inlineStr">
        <is>
          <t>N</t>
        </is>
      </c>
    </row>
    <row r="330">
      <c r="A330" s="2" t="inlineStr">
        <is>
          <t>TXN100330</t>
        </is>
      </c>
      <c r="B330" s="2" t="inlineStr">
        <is>
          <t xml:space="preserve">  CUST0330 </t>
        </is>
      </c>
      <c r="C330" s="2" t="inlineStr">
        <is>
          <t>2026-06-01 11:00:00</t>
        </is>
      </c>
      <c r="D330" s="2" t="n"/>
      <c r="E330" s="2" t="n">
        <v>28</v>
      </c>
      <c r="F330" s="2" t="inlineStr">
        <is>
          <t>Savings</t>
        </is>
      </c>
      <c r="G330" s="2" t="inlineStr">
        <is>
          <t>Utilities</t>
        </is>
      </c>
      <c r="H330" s="2" t="inlineStr">
        <is>
          <t>$7710.99</t>
        </is>
      </c>
      <c r="I330" s="2" t="n">
        <v>25519.18</v>
      </c>
      <c r="J330" s="2" t="inlineStr">
        <is>
          <t>ATM</t>
        </is>
      </c>
      <c r="K330" s="2" t="inlineStr">
        <is>
          <t>N</t>
        </is>
      </c>
    </row>
    <row r="331">
      <c r="A331" s="2" t="inlineStr">
        <is>
          <t>TXN100331</t>
        </is>
      </c>
      <c r="B331" s="2" t="inlineStr">
        <is>
          <t xml:space="preserve">  CUST0331 </t>
        </is>
      </c>
      <c r="C331" s="2" t="inlineStr">
        <is>
          <t>2026-06-01 15:26:00</t>
        </is>
      </c>
      <c r="D331" s="2" t="n"/>
      <c r="E331" s="2" t="n">
        <v>51</v>
      </c>
      <c r="F331" s="2" t="inlineStr">
        <is>
          <t>Savings</t>
        </is>
      </c>
      <c r="G331" s="2" t="inlineStr">
        <is>
          <t>groceries</t>
        </is>
      </c>
      <c r="H331" s="2" t="inlineStr">
        <is>
          <t>$4527.53</t>
        </is>
      </c>
      <c r="I331" s="2" t="n">
        <v>39896.1</v>
      </c>
      <c r="J331" s="2" t="inlineStr">
        <is>
          <t>Online Banking</t>
        </is>
      </c>
      <c r="K331" s="2" t="inlineStr">
        <is>
          <t>N</t>
        </is>
      </c>
    </row>
    <row r="332">
      <c r="A332" s="2" t="inlineStr">
        <is>
          <t>TXN100332</t>
        </is>
      </c>
      <c r="B332" s="2" t="inlineStr">
        <is>
          <t xml:space="preserve">  CUST0332 </t>
        </is>
      </c>
      <c r="C332" s="2" t="inlineStr">
        <is>
          <t>2026-06-01 09:02:00</t>
        </is>
      </c>
      <c r="D332" s="2" t="inlineStr">
        <is>
          <t>female</t>
        </is>
      </c>
      <c r="E332" s="2" t="n">
        <v>34</v>
      </c>
      <c r="F332" s="2" t="inlineStr">
        <is>
          <t>Investment</t>
        </is>
      </c>
      <c r="G332" s="2" t="inlineStr">
        <is>
          <t>Entertainment</t>
        </is>
      </c>
      <c r="H332" s="2" t="inlineStr">
        <is>
          <t>$1353.99</t>
        </is>
      </c>
      <c r="I332" s="2" t="n">
        <v>23137.41</v>
      </c>
      <c r="J332" s="2" t="inlineStr">
        <is>
          <t>ATM</t>
        </is>
      </c>
      <c r="K332" s="2" t="inlineStr">
        <is>
          <t>N</t>
        </is>
      </c>
    </row>
    <row r="333">
      <c r="A333" s="2" t="inlineStr">
        <is>
          <t>TXN100333</t>
        </is>
      </c>
      <c r="B333" s="2" t="inlineStr">
        <is>
          <t xml:space="preserve">  CUST0333 </t>
        </is>
      </c>
      <c r="C333" s="2" t="inlineStr">
        <is>
          <t>2026-06-01 17:32:00</t>
        </is>
      </c>
      <c r="D333" s="2" t="inlineStr">
        <is>
          <t>MALE</t>
        </is>
      </c>
      <c r="E333" s="2" t="n">
        <v>56</v>
      </c>
      <c r="F333" s="2" t="inlineStr">
        <is>
          <t>Savings</t>
        </is>
      </c>
      <c r="G333" s="2" t="inlineStr">
        <is>
          <t>Entertainment</t>
        </is>
      </c>
      <c r="H333" s="2" t="inlineStr">
        <is>
          <t>$6203.15</t>
        </is>
      </c>
      <c r="I333" s="2" t="n">
        <v>41252.5</v>
      </c>
      <c r="J333" s="2" t="inlineStr">
        <is>
          <t>Branch Office</t>
        </is>
      </c>
      <c r="K333" s="2" t="inlineStr">
        <is>
          <t>N</t>
        </is>
      </c>
    </row>
    <row r="334">
      <c r="A334" s="2" t="inlineStr">
        <is>
          <t>TXN100334</t>
        </is>
      </c>
      <c r="B334" s="2" t="inlineStr">
        <is>
          <t xml:space="preserve">  CUST0334 </t>
        </is>
      </c>
      <c r="C334" s="2" t="inlineStr">
        <is>
          <t>2026-06-01 17:52:00</t>
        </is>
      </c>
      <c r="D334" s="2" t="inlineStr">
        <is>
          <t>M</t>
        </is>
      </c>
      <c r="E334" s="2" t="n">
        <v>68</v>
      </c>
      <c r="F334" s="2" t="inlineStr">
        <is>
          <t>Investment</t>
        </is>
      </c>
      <c r="G334" s="2" t="inlineStr">
        <is>
          <t>Utilities</t>
        </is>
      </c>
      <c r="H334" s="2" t="inlineStr">
        <is>
          <t>$4375.36</t>
        </is>
      </c>
      <c r="I334" s="2" t="n">
        <v>49493.9</v>
      </c>
      <c r="J334" s="2" t="inlineStr">
        <is>
          <t xml:space="preserve">Mobile App </t>
        </is>
      </c>
      <c r="K334" s="2" t="inlineStr">
        <is>
          <t>N</t>
        </is>
      </c>
    </row>
    <row r="335">
      <c r="A335" s="2" t="inlineStr">
        <is>
          <t>TXN100335</t>
        </is>
      </c>
      <c r="B335" s="2" t="inlineStr">
        <is>
          <t xml:space="preserve">  CUST0335 </t>
        </is>
      </c>
      <c r="C335" s="2" t="inlineStr">
        <is>
          <t>2026-06-01 23:53:00</t>
        </is>
      </c>
      <c r="D335" s="2" t="inlineStr">
        <is>
          <t>F</t>
        </is>
      </c>
      <c r="E335" s="2" t="n">
        <v>39</v>
      </c>
      <c r="F335" s="2" t="inlineStr">
        <is>
          <t>Savings</t>
        </is>
      </c>
      <c r="G335" s="2" t="inlineStr">
        <is>
          <t>Utilities</t>
        </is>
      </c>
      <c r="H335" s="2" t="inlineStr">
        <is>
          <t>$2109.89</t>
        </is>
      </c>
      <c r="I335" s="2" t="n">
        <v>43178.88</v>
      </c>
      <c r="J335" s="2" t="inlineStr">
        <is>
          <t xml:space="preserve">Mobile App </t>
        </is>
      </c>
      <c r="K335" s="2" t="inlineStr">
        <is>
          <t>N</t>
        </is>
      </c>
    </row>
    <row r="336">
      <c r="A336" s="2" t="inlineStr">
        <is>
          <t>TXN100336</t>
        </is>
      </c>
      <c r="B336" s="2" t="inlineStr">
        <is>
          <t xml:space="preserve">  CUST0336 </t>
        </is>
      </c>
      <c r="C336" s="2" t="inlineStr">
        <is>
          <t>2026-06-01 14:55:00</t>
        </is>
      </c>
      <c r="D336" s="2" t="inlineStr">
        <is>
          <t>MALE</t>
        </is>
      </c>
      <c r="E336" s="2" t="n">
        <v>69</v>
      </c>
      <c r="F336" s="2" t="inlineStr">
        <is>
          <t>Savings</t>
        </is>
      </c>
      <c r="G336" s="2" t="inlineStr">
        <is>
          <t>GROCERIES</t>
        </is>
      </c>
      <c r="H336" s="2" t="inlineStr">
        <is>
          <t>$6487.51</t>
        </is>
      </c>
      <c r="I336" s="2" t="n">
        <v>29602.23</v>
      </c>
      <c r="J336" s="2" t="inlineStr">
        <is>
          <t>Branch Office</t>
        </is>
      </c>
      <c r="K336" s="2" t="inlineStr">
        <is>
          <t>N</t>
        </is>
      </c>
    </row>
    <row r="337">
      <c r="A337" s="2" t="inlineStr">
        <is>
          <t>TXN100337</t>
        </is>
      </c>
      <c r="B337" s="2" t="inlineStr">
        <is>
          <t xml:space="preserve">  CUST0337 </t>
        </is>
      </c>
      <c r="C337" s="2" t="inlineStr">
        <is>
          <t>2026-06-01 22:39:00</t>
        </is>
      </c>
      <c r="D337" s="3" t="inlineStr"/>
      <c r="E337" s="2" t="n">
        <v>30</v>
      </c>
      <c r="F337" s="2" t="inlineStr">
        <is>
          <t>Investment</t>
        </is>
      </c>
      <c r="G337" s="2" t="inlineStr">
        <is>
          <t>GROCERIES</t>
        </is>
      </c>
      <c r="H337" s="2" t="inlineStr">
        <is>
          <t>$6280.95</t>
        </is>
      </c>
      <c r="I337" s="2" t="n">
        <v>40769.73</v>
      </c>
      <c r="J337" s="2" t="inlineStr">
        <is>
          <t xml:space="preserve">Mobile App </t>
        </is>
      </c>
      <c r="K337" s="2" t="inlineStr">
        <is>
          <t>N</t>
        </is>
      </c>
    </row>
    <row r="338">
      <c r="A338" s="2" t="inlineStr">
        <is>
          <t>TXN100338</t>
        </is>
      </c>
      <c r="B338" s="2" t="inlineStr">
        <is>
          <t xml:space="preserve">  CUST0338 </t>
        </is>
      </c>
      <c r="C338" s="2" t="inlineStr">
        <is>
          <t>2026-06-01 18:22:00</t>
        </is>
      </c>
      <c r="D338" s="2" t="inlineStr">
        <is>
          <t>female</t>
        </is>
      </c>
      <c r="E338" s="2" t="n">
        <v>58</v>
      </c>
      <c r="F338" s="2" t="inlineStr">
        <is>
          <t>Investment</t>
        </is>
      </c>
      <c r="G338" s="2" t="inlineStr">
        <is>
          <t>GROCERIES</t>
        </is>
      </c>
      <c r="H338" s="2" t="inlineStr">
        <is>
          <t>$2595.99</t>
        </is>
      </c>
      <c r="I338" s="2" t="n">
        <v>35350.66</v>
      </c>
      <c r="J338" s="2" t="inlineStr">
        <is>
          <t>Branch Office</t>
        </is>
      </c>
      <c r="K338" s="2" t="inlineStr">
        <is>
          <t>N</t>
        </is>
      </c>
    </row>
    <row r="339">
      <c r="A339" s="2" t="inlineStr">
        <is>
          <t>TXN100339</t>
        </is>
      </c>
      <c r="B339" s="2" t="inlineStr">
        <is>
          <t xml:space="preserve">  CUST0339 </t>
        </is>
      </c>
      <c r="C339" s="2" t="inlineStr">
        <is>
          <t>2026-06-01 18:17:00</t>
        </is>
      </c>
      <c r="D339" s="2" t="inlineStr">
        <is>
          <t>MALE</t>
        </is>
      </c>
      <c r="E339" s="2" t="n">
        <v>28</v>
      </c>
      <c r="F339" s="2" t="inlineStr">
        <is>
          <t>Checking</t>
        </is>
      </c>
      <c r="G339" s="2" t="inlineStr">
        <is>
          <t>groceries</t>
        </is>
      </c>
      <c r="H339" s="2" t="inlineStr">
        <is>
          <t>$7939.96</t>
        </is>
      </c>
      <c r="I339" s="2" t="n">
        <v>43418.86</v>
      </c>
      <c r="J339" s="2" t="inlineStr">
        <is>
          <t>Online Banking</t>
        </is>
      </c>
      <c r="K339" s="2" t="inlineStr">
        <is>
          <t>Y</t>
        </is>
      </c>
    </row>
    <row r="340">
      <c r="A340" s="2" t="inlineStr">
        <is>
          <t>TXN100340</t>
        </is>
      </c>
      <c r="B340" s="2" t="inlineStr">
        <is>
          <t xml:space="preserve">  CUST0340 </t>
        </is>
      </c>
      <c r="C340" s="2" t="inlineStr">
        <is>
          <t>2026-06-01 04:15:00</t>
        </is>
      </c>
      <c r="D340" s="2" t="inlineStr">
        <is>
          <t>Male</t>
        </is>
      </c>
      <c r="E340" s="2" t="n">
        <v>65</v>
      </c>
      <c r="F340" s="2" t="inlineStr">
        <is>
          <t>Checking</t>
        </is>
      </c>
      <c r="G340" s="2" t="inlineStr">
        <is>
          <t>GROCERIES</t>
        </is>
      </c>
      <c r="H340" s="2" t="inlineStr">
        <is>
          <t>$6094.17</t>
        </is>
      </c>
      <c r="I340" s="2" t="n">
        <v>33973.61</v>
      </c>
      <c r="J340" s="2" t="inlineStr">
        <is>
          <t>ATM</t>
        </is>
      </c>
      <c r="K340" s="2" t="inlineStr">
        <is>
          <t>N</t>
        </is>
      </c>
    </row>
    <row r="341">
      <c r="A341" s="2" t="inlineStr">
        <is>
          <t>TXN100341</t>
        </is>
      </c>
      <c r="B341" s="2" t="inlineStr">
        <is>
          <t xml:space="preserve">  CUST0341 </t>
        </is>
      </c>
      <c r="C341" s="2" t="inlineStr">
        <is>
          <t>2026-06-01 04:36:00</t>
        </is>
      </c>
      <c r="D341" s="2" t="inlineStr">
        <is>
          <t>female</t>
        </is>
      </c>
      <c r="E341" s="2" t="n">
        <v>60</v>
      </c>
      <c r="F341" s="2" t="inlineStr">
        <is>
          <t>Checking</t>
        </is>
      </c>
      <c r="G341" s="2" t="inlineStr">
        <is>
          <t>Utilities</t>
        </is>
      </c>
      <c r="H341" s="2" t="inlineStr">
        <is>
          <t>$3621.41</t>
        </is>
      </c>
      <c r="I341" s="2" t="n">
        <v>31864.57</v>
      </c>
      <c r="J341" s="2" t="inlineStr">
        <is>
          <t xml:space="preserve">Mobile App </t>
        </is>
      </c>
      <c r="K341" s="2" t="inlineStr">
        <is>
          <t>N</t>
        </is>
      </c>
    </row>
    <row r="342">
      <c r="A342" s="2" t="inlineStr">
        <is>
          <t>TXN100342</t>
        </is>
      </c>
      <c r="B342" s="2" t="inlineStr">
        <is>
          <t xml:space="preserve">  CUST0342 </t>
        </is>
      </c>
      <c r="C342" s="2" t="inlineStr">
        <is>
          <t>2026-06-01 12:32:00</t>
        </is>
      </c>
      <c r="D342" s="2" t="inlineStr">
        <is>
          <t>female</t>
        </is>
      </c>
      <c r="E342" s="2" t="n">
        <v>64</v>
      </c>
      <c r="F342" s="2" t="inlineStr">
        <is>
          <t>Checking</t>
        </is>
      </c>
      <c r="G342" s="2" t="inlineStr">
        <is>
          <t>Utilities</t>
        </is>
      </c>
      <c r="H342" s="2" t="inlineStr">
        <is>
          <t>$7602.53</t>
        </is>
      </c>
      <c r="I342" s="2" t="n">
        <v>16700.82</v>
      </c>
      <c r="J342" s="2" t="inlineStr">
        <is>
          <t xml:space="preserve">Mobile App </t>
        </is>
      </c>
      <c r="K342" s="2" t="inlineStr">
        <is>
          <t>Y</t>
        </is>
      </c>
    </row>
    <row r="343">
      <c r="A343" s="2" t="inlineStr">
        <is>
          <t>TXN100343</t>
        </is>
      </c>
      <c r="B343" s="2" t="inlineStr">
        <is>
          <t xml:space="preserve">  CUST0343 </t>
        </is>
      </c>
      <c r="C343" s="2" t="inlineStr">
        <is>
          <t>2026-06-01 23:05:00</t>
        </is>
      </c>
      <c r="D343" s="2" t="n"/>
      <c r="E343" s="2" t="n">
        <v>60</v>
      </c>
      <c r="F343" s="2" t="inlineStr">
        <is>
          <t>Investment</t>
        </is>
      </c>
      <c r="G343" s="2" t="inlineStr">
        <is>
          <t>Entertainment</t>
        </is>
      </c>
      <c r="H343" s="2" t="inlineStr">
        <is>
          <t>$6802.35</t>
        </is>
      </c>
      <c r="I343" s="2" t="n">
        <v>39886.06</v>
      </c>
      <c r="J343" s="2" t="inlineStr">
        <is>
          <t>ATM</t>
        </is>
      </c>
      <c r="K343" s="2" t="inlineStr">
        <is>
          <t>N</t>
        </is>
      </c>
    </row>
    <row r="344">
      <c r="A344" s="2" t="inlineStr">
        <is>
          <t>TXN100344</t>
        </is>
      </c>
      <c r="B344" s="2" t="inlineStr">
        <is>
          <t xml:space="preserve">  CUST0344 </t>
        </is>
      </c>
      <c r="C344" s="2" t="inlineStr">
        <is>
          <t>2026-06-01 06:27:00</t>
        </is>
      </c>
      <c r="D344" s="2" t="inlineStr">
        <is>
          <t>F</t>
        </is>
      </c>
      <c r="E344" s="2" t="n">
        <v>51</v>
      </c>
      <c r="F344" s="2" t="inlineStr">
        <is>
          <t>Checking</t>
        </is>
      </c>
      <c r="G344" s="2" t="inlineStr">
        <is>
          <t>Entertainment</t>
        </is>
      </c>
      <c r="H344" s="2" t="inlineStr">
        <is>
          <t>$6628.47</t>
        </is>
      </c>
      <c r="I344" s="2" t="n">
        <v>17218.88</v>
      </c>
      <c r="J344" s="2" t="inlineStr">
        <is>
          <t>Online Banking</t>
        </is>
      </c>
      <c r="K344" s="2" t="inlineStr">
        <is>
          <t>N</t>
        </is>
      </c>
    </row>
    <row r="345">
      <c r="A345" s="2" t="inlineStr">
        <is>
          <t>TXN100345</t>
        </is>
      </c>
      <c r="B345" s="2" t="inlineStr">
        <is>
          <t xml:space="preserve">  CUST0345 </t>
        </is>
      </c>
      <c r="C345" s="2" t="inlineStr">
        <is>
          <t>2026-06-01 18:54:00</t>
        </is>
      </c>
      <c r="D345" s="2" t="n"/>
      <c r="E345" s="2" t="n">
        <v>70</v>
      </c>
      <c r="F345" s="2" t="inlineStr">
        <is>
          <t>Checking</t>
        </is>
      </c>
      <c r="G345" s="2" t="inlineStr">
        <is>
          <t>groceries</t>
        </is>
      </c>
      <c r="H345" s="2" t="inlineStr">
        <is>
          <t>$377.08</t>
        </is>
      </c>
      <c r="I345" s="2" t="n">
        <v>31495.89</v>
      </c>
      <c r="J345" s="2" t="inlineStr">
        <is>
          <t>ATM</t>
        </is>
      </c>
      <c r="K345" s="2" t="inlineStr">
        <is>
          <t>N</t>
        </is>
      </c>
    </row>
    <row r="346">
      <c r="A346" s="2" t="inlineStr">
        <is>
          <t>TXN100346</t>
        </is>
      </c>
      <c r="B346" s="2" t="inlineStr">
        <is>
          <t xml:space="preserve">  CUST0346 </t>
        </is>
      </c>
      <c r="C346" s="2" t="inlineStr">
        <is>
          <t>2026-06-01 00:07:00</t>
        </is>
      </c>
      <c r="D346" s="2" t="inlineStr">
        <is>
          <t>Male</t>
        </is>
      </c>
      <c r="E346" s="2" t="n">
        <v>48</v>
      </c>
      <c r="F346" s="2" t="inlineStr">
        <is>
          <t>Checking</t>
        </is>
      </c>
      <c r="G346" s="2" t="inlineStr">
        <is>
          <t>groceries</t>
        </is>
      </c>
      <c r="H346" s="2" t="inlineStr">
        <is>
          <t>$7934.79</t>
        </is>
      </c>
      <c r="I346" s="2" t="n">
        <v>21676.07</v>
      </c>
      <c r="J346" s="2" t="inlineStr">
        <is>
          <t>Online Banking</t>
        </is>
      </c>
      <c r="K346" s="2" t="inlineStr">
        <is>
          <t>Y</t>
        </is>
      </c>
    </row>
    <row r="347">
      <c r="A347" s="2" t="inlineStr">
        <is>
          <t>TXN100347</t>
        </is>
      </c>
      <c r="B347" s="2" t="inlineStr">
        <is>
          <t xml:space="preserve">  CUST0347 </t>
        </is>
      </c>
      <c r="C347" s="2" t="inlineStr">
        <is>
          <t>2026-06-01 09:10:00</t>
        </is>
      </c>
      <c r="D347" s="2" t="inlineStr">
        <is>
          <t>female</t>
        </is>
      </c>
      <c r="E347" s="2" t="n">
        <v>25</v>
      </c>
      <c r="F347" s="2" t="inlineStr">
        <is>
          <t>Investment</t>
        </is>
      </c>
      <c r="G347" s="2" t="inlineStr">
        <is>
          <t>Entertainment</t>
        </is>
      </c>
      <c r="H347" s="2" t="inlineStr">
        <is>
          <t>$2010.61</t>
        </is>
      </c>
      <c r="I347" s="2" t="n">
        <v>18906.27</v>
      </c>
      <c r="J347" s="2" t="inlineStr">
        <is>
          <t>Online Banking</t>
        </is>
      </c>
      <c r="K347" s="2" t="inlineStr">
        <is>
          <t>N</t>
        </is>
      </c>
    </row>
    <row r="348">
      <c r="A348" s="2" t="inlineStr">
        <is>
          <t>TXN100348</t>
        </is>
      </c>
      <c r="B348" s="2" t="inlineStr">
        <is>
          <t xml:space="preserve">  CUST0348 </t>
        </is>
      </c>
      <c r="C348" s="2" t="inlineStr">
        <is>
          <t>2026-06-01 01:25:00</t>
        </is>
      </c>
      <c r="D348" s="2" t="inlineStr">
        <is>
          <t>female</t>
        </is>
      </c>
      <c r="E348" s="2" t="n">
        <v>66</v>
      </c>
      <c r="F348" s="2" t="inlineStr">
        <is>
          <t>Investment</t>
        </is>
      </c>
      <c r="G348" s="2" t="inlineStr">
        <is>
          <t>GROCERIES</t>
        </is>
      </c>
      <c r="H348" s="2" t="inlineStr">
        <is>
          <t>$3439.56</t>
        </is>
      </c>
      <c r="I348" s="2" t="n">
        <v>5014.36</v>
      </c>
      <c r="J348" s="2" t="inlineStr">
        <is>
          <t xml:space="preserve">Mobile App </t>
        </is>
      </c>
      <c r="K348" s="2" t="inlineStr">
        <is>
          <t>N</t>
        </is>
      </c>
    </row>
    <row r="349">
      <c r="A349" s="2" t="inlineStr">
        <is>
          <t>TXN100349</t>
        </is>
      </c>
      <c r="B349" s="2" t="inlineStr">
        <is>
          <t xml:space="preserve">  CUST0349 </t>
        </is>
      </c>
      <c r="C349" s="2" t="inlineStr">
        <is>
          <t>2026-06-01 00:13:00</t>
        </is>
      </c>
      <c r="D349" s="2" t="n"/>
      <c r="E349" s="2" t="n">
        <v>24</v>
      </c>
      <c r="F349" s="2" t="inlineStr">
        <is>
          <t>Savings</t>
        </is>
      </c>
      <c r="G349" s="2" t="inlineStr">
        <is>
          <t>Travel</t>
        </is>
      </c>
      <c r="H349" s="2" t="inlineStr">
        <is>
          <t>$1817.26</t>
        </is>
      </c>
      <c r="I349" s="2" t="n">
        <v>34159.14</v>
      </c>
      <c r="J349" s="2" t="inlineStr">
        <is>
          <t xml:space="preserve">Mobile App </t>
        </is>
      </c>
      <c r="K349" s="2" t="inlineStr">
        <is>
          <t>N</t>
        </is>
      </c>
    </row>
    <row r="350">
      <c r="A350" s="2" t="inlineStr">
        <is>
          <t>TXN100350</t>
        </is>
      </c>
      <c r="B350" s="2" t="inlineStr">
        <is>
          <t xml:space="preserve">  CUST0350 </t>
        </is>
      </c>
      <c r="C350" s="2" t="inlineStr">
        <is>
          <t>2026-06-01 00:44:00</t>
        </is>
      </c>
      <c r="D350" s="2" t="inlineStr">
        <is>
          <t>Female</t>
        </is>
      </c>
      <c r="E350" s="2" t="n">
        <v>72</v>
      </c>
      <c r="F350" s="2" t="inlineStr">
        <is>
          <t>Savings</t>
        </is>
      </c>
      <c r="G350" s="2" t="inlineStr">
        <is>
          <t>Utilities</t>
        </is>
      </c>
      <c r="H350" s="2" t="inlineStr">
        <is>
          <t>$5555.31</t>
        </is>
      </c>
      <c r="I350" s="2" t="n">
        <v>24146.16</v>
      </c>
      <c r="J350" s="2" t="inlineStr">
        <is>
          <t>Online Banking</t>
        </is>
      </c>
      <c r="K350" s="2" t="inlineStr">
        <is>
          <t>N</t>
        </is>
      </c>
    </row>
    <row r="351">
      <c r="A351" s="2" t="inlineStr">
        <is>
          <t>TXN100351</t>
        </is>
      </c>
      <c r="B351" s="2" t="inlineStr">
        <is>
          <t xml:space="preserve">  CUST0351 </t>
        </is>
      </c>
      <c r="C351" s="2" t="inlineStr">
        <is>
          <t>2026-06-01 12:05:00</t>
        </is>
      </c>
      <c r="D351" s="2" t="inlineStr">
        <is>
          <t>MALE</t>
        </is>
      </c>
      <c r="E351" s="2" t="n">
        <v>26</v>
      </c>
      <c r="F351" s="2" t="inlineStr">
        <is>
          <t>Checking</t>
        </is>
      </c>
      <c r="G351" s="2" t="inlineStr">
        <is>
          <t>Entertainment</t>
        </is>
      </c>
      <c r="H351" s="2" t="inlineStr">
        <is>
          <t>$7049.1</t>
        </is>
      </c>
      <c r="I351" s="2" t="n">
        <v>7287.9</v>
      </c>
      <c r="J351" s="2" t="inlineStr">
        <is>
          <t>Online Banking</t>
        </is>
      </c>
      <c r="K351" s="2" t="inlineStr">
        <is>
          <t>Y</t>
        </is>
      </c>
    </row>
    <row r="352">
      <c r="A352" s="2" t="inlineStr">
        <is>
          <t>TXN100352</t>
        </is>
      </c>
      <c r="B352" s="2" t="inlineStr">
        <is>
          <t xml:space="preserve">  CUST0352 </t>
        </is>
      </c>
      <c r="C352" s="2" t="inlineStr">
        <is>
          <t>2026-06-01 21:09:00</t>
        </is>
      </c>
      <c r="D352" s="2" t="inlineStr">
        <is>
          <t>MALE</t>
        </is>
      </c>
      <c r="E352" s="2" t="n">
        <v>53</v>
      </c>
      <c r="F352" s="2" t="inlineStr">
        <is>
          <t>Investment</t>
        </is>
      </c>
      <c r="G352" s="2" t="inlineStr">
        <is>
          <t>groceries</t>
        </is>
      </c>
      <c r="H352" s="2" t="inlineStr">
        <is>
          <t>$4886.45</t>
        </is>
      </c>
      <c r="I352" s="2" t="n">
        <v>8623.77</v>
      </c>
      <c r="J352" s="2" t="inlineStr">
        <is>
          <t>Branch Office</t>
        </is>
      </c>
      <c r="K352" s="2" t="inlineStr">
        <is>
          <t>N</t>
        </is>
      </c>
    </row>
    <row r="353">
      <c r="A353" s="2" t="inlineStr">
        <is>
          <t>TXN100353</t>
        </is>
      </c>
      <c r="B353" s="2" t="inlineStr">
        <is>
          <t xml:space="preserve">  CUST0353 </t>
        </is>
      </c>
      <c r="C353" s="2" t="inlineStr">
        <is>
          <t>2026-06-01 23:13:00</t>
        </is>
      </c>
      <c r="D353" s="2" t="inlineStr">
        <is>
          <t>Male</t>
        </is>
      </c>
      <c r="E353" s="2" t="n">
        <v>46</v>
      </c>
      <c r="F353" s="2" t="inlineStr">
        <is>
          <t>Investment</t>
        </is>
      </c>
      <c r="G353" s="2" t="inlineStr">
        <is>
          <t>Utilities</t>
        </is>
      </c>
      <c r="H353" s="2" t="inlineStr">
        <is>
          <t>$6881.1</t>
        </is>
      </c>
      <c r="I353" s="2" t="n">
        <v>4791.06</v>
      </c>
      <c r="J353" s="2" t="inlineStr">
        <is>
          <t xml:space="preserve">Mobile App </t>
        </is>
      </c>
      <c r="K353" s="2" t="inlineStr">
        <is>
          <t>N</t>
        </is>
      </c>
    </row>
    <row r="354">
      <c r="A354" s="2" t="inlineStr">
        <is>
          <t>TXN100354</t>
        </is>
      </c>
      <c r="B354" s="2" t="inlineStr">
        <is>
          <t xml:space="preserve">  CUST0354 </t>
        </is>
      </c>
      <c r="C354" s="2" t="inlineStr">
        <is>
          <t>2026-06-01 04:48:00</t>
        </is>
      </c>
      <c r="D354" s="2" t="inlineStr">
        <is>
          <t>MALE</t>
        </is>
      </c>
      <c r="E354" s="2" t="n">
        <v>57</v>
      </c>
      <c r="F354" s="2" t="inlineStr">
        <is>
          <t>Investment</t>
        </is>
      </c>
      <c r="G354" s="2" t="inlineStr">
        <is>
          <t>Utilities</t>
        </is>
      </c>
      <c r="H354" s="2" t="inlineStr">
        <is>
          <t>$2818.77</t>
        </is>
      </c>
      <c r="I354" s="2" t="n">
        <v>21754.74</v>
      </c>
      <c r="J354" s="2" t="inlineStr">
        <is>
          <t>Online Banking</t>
        </is>
      </c>
      <c r="K354" s="2" t="inlineStr">
        <is>
          <t>N</t>
        </is>
      </c>
    </row>
    <row r="355">
      <c r="A355" s="2" t="inlineStr">
        <is>
          <t>TXN100355</t>
        </is>
      </c>
      <c r="B355" s="2" t="inlineStr">
        <is>
          <t xml:space="preserve">  CUST0355 </t>
        </is>
      </c>
      <c r="C355" s="2" t="inlineStr">
        <is>
          <t>2026-06-01 07:17:00</t>
        </is>
      </c>
      <c r="D355" s="2" t="inlineStr">
        <is>
          <t>MALE</t>
        </is>
      </c>
      <c r="E355" s="2" t="n">
        <v>35</v>
      </c>
      <c r="F355" s="2" t="inlineStr">
        <is>
          <t>Investment</t>
        </is>
      </c>
      <c r="G355" s="2" t="inlineStr">
        <is>
          <t>Travel</t>
        </is>
      </c>
      <c r="H355" s="2" t="inlineStr">
        <is>
          <t>$4804.06</t>
        </is>
      </c>
      <c r="I355" s="2" t="n">
        <v>30575.86</v>
      </c>
      <c r="J355" s="2" t="inlineStr">
        <is>
          <t xml:space="preserve">Mobile App </t>
        </is>
      </c>
      <c r="K355" s="2" t="inlineStr">
        <is>
          <t>N</t>
        </is>
      </c>
    </row>
    <row r="356">
      <c r="A356" s="2" t="inlineStr">
        <is>
          <t>TXN100356</t>
        </is>
      </c>
      <c r="B356" s="2" t="inlineStr">
        <is>
          <t xml:space="preserve">  CUST0356 </t>
        </is>
      </c>
      <c r="C356" s="2" t="inlineStr">
        <is>
          <t>2026-06-01 21:56:00</t>
        </is>
      </c>
      <c r="D356" s="2" t="inlineStr">
        <is>
          <t>female</t>
        </is>
      </c>
      <c r="E356" s="2" t="n">
        <v>33</v>
      </c>
      <c r="F356" s="2" t="inlineStr">
        <is>
          <t>Investment</t>
        </is>
      </c>
      <c r="G356" s="2" t="inlineStr">
        <is>
          <t>Travel</t>
        </is>
      </c>
      <c r="H356" s="2" t="inlineStr">
        <is>
          <t>$4081.09</t>
        </is>
      </c>
      <c r="I356" s="2" t="n">
        <v>37518.26</v>
      </c>
      <c r="J356" s="2" t="inlineStr">
        <is>
          <t>Branch Office</t>
        </is>
      </c>
      <c r="K356" s="2" t="inlineStr">
        <is>
          <t>N</t>
        </is>
      </c>
    </row>
    <row r="357">
      <c r="A357" s="2" t="inlineStr">
        <is>
          <t>TXN100357</t>
        </is>
      </c>
      <c r="B357" s="2" t="inlineStr">
        <is>
          <t xml:space="preserve">  CUST0357 </t>
        </is>
      </c>
      <c r="C357" s="2" t="inlineStr">
        <is>
          <t>2026-06-01 20:03:00</t>
        </is>
      </c>
      <c r="D357" s="2" t="inlineStr">
        <is>
          <t>F</t>
        </is>
      </c>
      <c r="E357" s="2" t="n">
        <v>51</v>
      </c>
      <c r="F357" s="2" t="inlineStr">
        <is>
          <t>Checking</t>
        </is>
      </c>
      <c r="G357" s="2" t="inlineStr">
        <is>
          <t>groceries</t>
        </is>
      </c>
      <c r="H357" s="2" t="inlineStr">
        <is>
          <t>$1936.24</t>
        </is>
      </c>
      <c r="I357" s="2" t="n">
        <v>32085.08</v>
      </c>
      <c r="J357" s="2" t="inlineStr">
        <is>
          <t xml:space="preserve">Mobile App </t>
        </is>
      </c>
      <c r="K357" s="2" t="inlineStr">
        <is>
          <t>N</t>
        </is>
      </c>
    </row>
    <row r="358">
      <c r="A358" s="2" t="inlineStr">
        <is>
          <t>TXN100358</t>
        </is>
      </c>
      <c r="B358" s="2" t="inlineStr">
        <is>
          <t xml:space="preserve">  CUST0358 </t>
        </is>
      </c>
      <c r="C358" s="2" t="inlineStr">
        <is>
          <t>2026-06-01 16:56:00</t>
        </is>
      </c>
      <c r="D358" s="2" t="inlineStr">
        <is>
          <t>M</t>
        </is>
      </c>
      <c r="E358" s="2" t="n">
        <v>43</v>
      </c>
      <c r="F358" s="2" t="inlineStr">
        <is>
          <t>Checking</t>
        </is>
      </c>
      <c r="G358" s="2" t="inlineStr">
        <is>
          <t>GROCERIES</t>
        </is>
      </c>
      <c r="H358" s="2" t="inlineStr">
        <is>
          <t>$3100.84</t>
        </is>
      </c>
      <c r="I358" s="2" t="n">
        <v>42029.18</v>
      </c>
      <c r="J358" s="2" t="inlineStr">
        <is>
          <t>ATM</t>
        </is>
      </c>
      <c r="K358" s="2" t="inlineStr">
        <is>
          <t>N</t>
        </is>
      </c>
    </row>
    <row r="359">
      <c r="A359" s="2" t="inlineStr">
        <is>
          <t>TXN100359</t>
        </is>
      </c>
      <c r="B359" s="2" t="inlineStr">
        <is>
          <t xml:space="preserve">  CUST0359 </t>
        </is>
      </c>
      <c r="C359" s="2" t="inlineStr">
        <is>
          <t>2026-06-01 11:34:00</t>
        </is>
      </c>
      <c r="D359" s="2" t="inlineStr">
        <is>
          <t>Male</t>
        </is>
      </c>
      <c r="E359" s="2" t="n">
        <v>68</v>
      </c>
      <c r="F359" s="2" t="inlineStr">
        <is>
          <t>Checking</t>
        </is>
      </c>
      <c r="G359" s="2" t="inlineStr">
        <is>
          <t>groceries</t>
        </is>
      </c>
      <c r="H359" s="2" t="inlineStr">
        <is>
          <t>$143.35</t>
        </is>
      </c>
      <c r="I359" s="2" t="n">
        <v>3842.86</v>
      </c>
      <c r="J359" s="2" t="inlineStr">
        <is>
          <t>Branch Office</t>
        </is>
      </c>
      <c r="K359" s="2" t="inlineStr">
        <is>
          <t>N</t>
        </is>
      </c>
    </row>
    <row r="360">
      <c r="A360" s="2" t="inlineStr">
        <is>
          <t>TXN100360</t>
        </is>
      </c>
      <c r="B360" s="2" t="inlineStr">
        <is>
          <t xml:space="preserve">  CUST0360 </t>
        </is>
      </c>
      <c r="C360" s="2" t="inlineStr">
        <is>
          <t>2026-06-01 06:02:00</t>
        </is>
      </c>
      <c r="D360" s="2" t="inlineStr">
        <is>
          <t>M</t>
        </is>
      </c>
      <c r="E360" s="2" t="n">
        <v>70</v>
      </c>
      <c r="F360" s="2" t="inlineStr">
        <is>
          <t>Checking</t>
        </is>
      </c>
      <c r="G360" s="2" t="inlineStr">
        <is>
          <t>Travel</t>
        </is>
      </c>
      <c r="H360" s="2" t="inlineStr">
        <is>
          <t>$2299.04</t>
        </is>
      </c>
      <c r="I360" s="2" t="n">
        <v>35775.14</v>
      </c>
      <c r="J360" s="2" t="inlineStr">
        <is>
          <t>ATM</t>
        </is>
      </c>
      <c r="K360" s="2" t="inlineStr">
        <is>
          <t>N</t>
        </is>
      </c>
    </row>
    <row r="361">
      <c r="A361" s="2" t="inlineStr">
        <is>
          <t>TXN100361</t>
        </is>
      </c>
      <c r="B361" s="2" t="inlineStr">
        <is>
          <t xml:space="preserve">  CUST0361 </t>
        </is>
      </c>
      <c r="C361" s="2" t="inlineStr">
        <is>
          <t>2026-06-01 13:44:00</t>
        </is>
      </c>
      <c r="D361" s="3" t="inlineStr"/>
      <c r="E361" s="2" t="n">
        <v>25</v>
      </c>
      <c r="F361" s="2" t="inlineStr">
        <is>
          <t>Investment</t>
        </is>
      </c>
      <c r="G361" s="2" t="inlineStr">
        <is>
          <t>Travel</t>
        </is>
      </c>
      <c r="H361" s="2" t="inlineStr">
        <is>
          <t>$4305.87</t>
        </is>
      </c>
      <c r="I361" s="2" t="n">
        <v>8057.68</v>
      </c>
      <c r="J361" s="2" t="inlineStr">
        <is>
          <t xml:space="preserve">Mobile App </t>
        </is>
      </c>
      <c r="K361" s="2" t="inlineStr">
        <is>
          <t>N</t>
        </is>
      </c>
    </row>
    <row r="362">
      <c r="A362" s="2" t="inlineStr">
        <is>
          <t>TXN100362</t>
        </is>
      </c>
      <c r="B362" s="2" t="inlineStr">
        <is>
          <t xml:space="preserve">  CUST0362 </t>
        </is>
      </c>
      <c r="C362" s="2" t="inlineStr">
        <is>
          <t>2026-06-01 09:05:00</t>
        </is>
      </c>
      <c r="D362" s="2" t="inlineStr">
        <is>
          <t>F</t>
        </is>
      </c>
      <c r="E362" s="2" t="n">
        <v>71</v>
      </c>
      <c r="F362" s="2" t="inlineStr">
        <is>
          <t>Savings</t>
        </is>
      </c>
      <c r="G362" s="2" t="inlineStr">
        <is>
          <t>Travel</t>
        </is>
      </c>
      <c r="H362" s="2" t="inlineStr">
        <is>
          <t>$2620.73</t>
        </is>
      </c>
      <c r="I362" s="2" t="n">
        <v>29528.64</v>
      </c>
      <c r="J362" s="2" t="inlineStr">
        <is>
          <t xml:space="preserve">Mobile App </t>
        </is>
      </c>
      <c r="K362" s="2" t="inlineStr">
        <is>
          <t>N</t>
        </is>
      </c>
    </row>
    <row r="363">
      <c r="A363" s="2" t="inlineStr">
        <is>
          <t>TXN100363</t>
        </is>
      </c>
      <c r="B363" s="2" t="inlineStr">
        <is>
          <t xml:space="preserve">  CUST0363 </t>
        </is>
      </c>
      <c r="C363" s="2" t="inlineStr">
        <is>
          <t>2026-06-01 09:44:00</t>
        </is>
      </c>
      <c r="D363" s="3" t="inlineStr"/>
      <c r="E363" s="2" t="n">
        <v>66</v>
      </c>
      <c r="F363" s="2" t="inlineStr">
        <is>
          <t>Savings</t>
        </is>
      </c>
      <c r="G363" s="2" t="inlineStr">
        <is>
          <t>groceries</t>
        </is>
      </c>
      <c r="H363" s="2" t="inlineStr">
        <is>
          <t>$1963.39</t>
        </is>
      </c>
      <c r="I363" s="2" t="n">
        <v>46269.07</v>
      </c>
      <c r="J363" s="2" t="inlineStr">
        <is>
          <t xml:space="preserve">Mobile App </t>
        </is>
      </c>
      <c r="K363" s="2" t="inlineStr">
        <is>
          <t>N</t>
        </is>
      </c>
    </row>
    <row r="364">
      <c r="A364" s="2" t="inlineStr">
        <is>
          <t>TXN100364</t>
        </is>
      </c>
      <c r="B364" s="2" t="inlineStr">
        <is>
          <t xml:space="preserve">  CUST0364 </t>
        </is>
      </c>
      <c r="C364" s="2" t="inlineStr">
        <is>
          <t>2026-06-01 14:39:00</t>
        </is>
      </c>
      <c r="D364" s="2" t="inlineStr">
        <is>
          <t>M</t>
        </is>
      </c>
      <c r="E364" s="2" t="n">
        <v>39</v>
      </c>
      <c r="F364" s="2" t="inlineStr">
        <is>
          <t>Investment</t>
        </is>
      </c>
      <c r="G364" s="2" t="inlineStr">
        <is>
          <t>GROCERIES</t>
        </is>
      </c>
      <c r="H364" s="2" t="inlineStr">
        <is>
          <t>$964.35</t>
        </is>
      </c>
      <c r="I364" s="2" t="n">
        <v>35541.08</v>
      </c>
      <c r="J364" s="2" t="inlineStr">
        <is>
          <t xml:space="preserve">Mobile App </t>
        </is>
      </c>
      <c r="K364" s="2" t="inlineStr">
        <is>
          <t>N</t>
        </is>
      </c>
    </row>
    <row r="365">
      <c r="A365" s="2" t="inlineStr">
        <is>
          <t>TXN100365</t>
        </is>
      </c>
      <c r="B365" s="2" t="inlineStr">
        <is>
          <t xml:space="preserve">  CUST0365 </t>
        </is>
      </c>
      <c r="C365" s="2" t="inlineStr">
        <is>
          <t>2026-06-01 05:31:00</t>
        </is>
      </c>
      <c r="D365" s="2" t="inlineStr">
        <is>
          <t>Female</t>
        </is>
      </c>
      <c r="E365" s="2" t="n">
        <v>53</v>
      </c>
      <c r="F365" s="2" t="inlineStr">
        <is>
          <t>Investment</t>
        </is>
      </c>
      <c r="G365" s="2" t="inlineStr">
        <is>
          <t>Entertainment</t>
        </is>
      </c>
      <c r="H365" s="2" t="inlineStr">
        <is>
          <t>$1344.03</t>
        </is>
      </c>
      <c r="I365" s="2" t="n">
        <v>6783.07</v>
      </c>
      <c r="J365" s="2" t="inlineStr">
        <is>
          <t>Branch Office</t>
        </is>
      </c>
      <c r="K365" s="2" t="inlineStr">
        <is>
          <t>N</t>
        </is>
      </c>
    </row>
    <row r="366">
      <c r="A366" s="2" t="inlineStr">
        <is>
          <t>TXN100366</t>
        </is>
      </c>
      <c r="B366" s="2" t="inlineStr">
        <is>
          <t xml:space="preserve">  CUST0366 </t>
        </is>
      </c>
      <c r="C366" s="2" t="inlineStr">
        <is>
          <t>2026-06-01 23:56:00</t>
        </is>
      </c>
      <c r="D366" s="2" t="inlineStr">
        <is>
          <t>MALE</t>
        </is>
      </c>
      <c r="E366" s="2" t="n">
        <v>69</v>
      </c>
      <c r="F366" s="2" t="inlineStr">
        <is>
          <t>Savings</t>
        </is>
      </c>
      <c r="G366" s="2" t="inlineStr">
        <is>
          <t>Entertainment</t>
        </is>
      </c>
      <c r="H366" s="2" t="inlineStr">
        <is>
          <t>$6458.79</t>
        </is>
      </c>
      <c r="I366" s="2" t="n">
        <v>13963.04</v>
      </c>
      <c r="J366" s="2" t="inlineStr">
        <is>
          <t xml:space="preserve">Mobile App </t>
        </is>
      </c>
      <c r="K366" s="2" t="inlineStr">
        <is>
          <t>N</t>
        </is>
      </c>
    </row>
    <row r="367">
      <c r="A367" s="2" t="inlineStr">
        <is>
          <t>TXN100367</t>
        </is>
      </c>
      <c r="B367" s="2" t="inlineStr">
        <is>
          <t xml:space="preserve">  CUST0367 </t>
        </is>
      </c>
      <c r="C367" s="2" t="inlineStr">
        <is>
          <t>2026-06-01 08:45:00</t>
        </is>
      </c>
      <c r="D367" s="2" t="inlineStr">
        <is>
          <t>MALE</t>
        </is>
      </c>
      <c r="E367" s="2" t="n">
        <v>51</v>
      </c>
      <c r="F367" s="2" t="inlineStr">
        <is>
          <t>Checking</t>
        </is>
      </c>
      <c r="G367" s="2" t="inlineStr">
        <is>
          <t>Travel</t>
        </is>
      </c>
      <c r="H367" s="2" t="inlineStr">
        <is>
          <t>$2887.39</t>
        </is>
      </c>
      <c r="I367" s="2" t="n">
        <v>25230.7</v>
      </c>
      <c r="J367" s="2" t="inlineStr">
        <is>
          <t>Online Banking</t>
        </is>
      </c>
      <c r="K367" s="2" t="inlineStr">
        <is>
          <t>N</t>
        </is>
      </c>
    </row>
    <row r="368">
      <c r="A368" s="2" t="inlineStr">
        <is>
          <t>TXN100368</t>
        </is>
      </c>
      <c r="B368" s="2" t="inlineStr">
        <is>
          <t xml:space="preserve">  CUST0368 </t>
        </is>
      </c>
      <c r="C368" s="2" t="inlineStr">
        <is>
          <t>2026-06-01 11:10:00</t>
        </is>
      </c>
      <c r="D368" s="2" t="inlineStr">
        <is>
          <t>female</t>
        </is>
      </c>
      <c r="E368" s="2" t="n">
        <v>69</v>
      </c>
      <c r="F368" s="2" t="inlineStr">
        <is>
          <t>Savings</t>
        </is>
      </c>
      <c r="G368" s="2" t="inlineStr">
        <is>
          <t>Travel</t>
        </is>
      </c>
      <c r="H368" s="2" t="inlineStr">
        <is>
          <t>$5396.22</t>
        </is>
      </c>
      <c r="I368" s="2" t="n">
        <v>6209.01</v>
      </c>
      <c r="J368" s="2" t="inlineStr">
        <is>
          <t xml:space="preserve">Mobile App </t>
        </is>
      </c>
      <c r="K368" s="2" t="inlineStr">
        <is>
          <t>N</t>
        </is>
      </c>
    </row>
    <row r="369">
      <c r="A369" s="2" t="inlineStr">
        <is>
          <t>TXN100369</t>
        </is>
      </c>
      <c r="B369" s="2" t="inlineStr">
        <is>
          <t xml:space="preserve">  CUST0369 </t>
        </is>
      </c>
      <c r="C369" s="2" t="inlineStr">
        <is>
          <t>2026-06-01 01:54:00</t>
        </is>
      </c>
      <c r="D369" s="2" t="inlineStr">
        <is>
          <t>M</t>
        </is>
      </c>
      <c r="E369" s="2" t="n">
        <v>35</v>
      </c>
      <c r="F369" s="2" t="inlineStr">
        <is>
          <t>Savings</t>
        </is>
      </c>
      <c r="G369" s="2" t="inlineStr">
        <is>
          <t>Utilities</t>
        </is>
      </c>
      <c r="H369" s="2" t="inlineStr">
        <is>
          <t>$2918.17</t>
        </is>
      </c>
      <c r="I369" s="2" t="n">
        <v>46051.21</v>
      </c>
      <c r="J369" s="2" t="inlineStr">
        <is>
          <t>Online Banking</t>
        </is>
      </c>
      <c r="K369" s="2" t="inlineStr">
        <is>
          <t>N</t>
        </is>
      </c>
    </row>
    <row r="370">
      <c r="A370" s="2" t="inlineStr">
        <is>
          <t>TXN100370</t>
        </is>
      </c>
      <c r="B370" s="2" t="inlineStr">
        <is>
          <t xml:space="preserve">  CUST0370 </t>
        </is>
      </c>
      <c r="C370" s="2" t="inlineStr">
        <is>
          <t>2026-06-01 01:35:00</t>
        </is>
      </c>
      <c r="D370" s="3" t="inlineStr"/>
      <c r="E370" s="2" t="n">
        <v>34</v>
      </c>
      <c r="F370" s="2" t="inlineStr">
        <is>
          <t>Checking</t>
        </is>
      </c>
      <c r="G370" s="2" t="inlineStr">
        <is>
          <t>GROCERIES</t>
        </is>
      </c>
      <c r="H370" s="2" t="inlineStr">
        <is>
          <t>$3335.89</t>
        </is>
      </c>
      <c r="I370" s="2" t="n">
        <v>36154.25</v>
      </c>
      <c r="J370" s="2" t="inlineStr">
        <is>
          <t>Branch Office</t>
        </is>
      </c>
      <c r="K370" s="2" t="inlineStr">
        <is>
          <t>N</t>
        </is>
      </c>
    </row>
    <row r="371">
      <c r="A371" s="2" t="inlineStr">
        <is>
          <t>TXN100371</t>
        </is>
      </c>
      <c r="B371" s="2" t="inlineStr">
        <is>
          <t xml:space="preserve">  CUST0371 </t>
        </is>
      </c>
      <c r="C371" s="2" t="inlineStr">
        <is>
          <t>2026-06-01 02:36:00</t>
        </is>
      </c>
      <c r="D371" s="2" t="inlineStr">
        <is>
          <t>Female</t>
        </is>
      </c>
      <c r="E371" s="2" t="n">
        <v>27</v>
      </c>
      <c r="F371" s="2" t="inlineStr">
        <is>
          <t>Investment</t>
        </is>
      </c>
      <c r="G371" s="2" t="inlineStr">
        <is>
          <t>groceries</t>
        </is>
      </c>
      <c r="H371" s="2" t="inlineStr">
        <is>
          <t>$1442.96</t>
        </is>
      </c>
      <c r="I371" s="2" t="n">
        <v>40314.73</v>
      </c>
      <c r="J371" s="2" t="inlineStr">
        <is>
          <t xml:space="preserve">Mobile App </t>
        </is>
      </c>
      <c r="K371" s="2" t="inlineStr">
        <is>
          <t>N</t>
        </is>
      </c>
    </row>
    <row r="372">
      <c r="A372" s="2" t="inlineStr">
        <is>
          <t>TXN100372</t>
        </is>
      </c>
      <c r="B372" s="2" t="inlineStr">
        <is>
          <t xml:space="preserve">  CUST0372 </t>
        </is>
      </c>
      <c r="C372" s="2" t="inlineStr">
        <is>
          <t>2026-06-01 12:04:00</t>
        </is>
      </c>
      <c r="D372" s="2" t="n"/>
      <c r="E372" s="2" t="n">
        <v>75</v>
      </c>
      <c r="F372" s="2" t="inlineStr">
        <is>
          <t>Checking</t>
        </is>
      </c>
      <c r="G372" s="2" t="inlineStr">
        <is>
          <t>Entertainment</t>
        </is>
      </c>
      <c r="H372" s="2" t="inlineStr">
        <is>
          <t>$2625.13</t>
        </is>
      </c>
      <c r="I372" s="2" t="n">
        <v>27878.02</v>
      </c>
      <c r="J372" s="2" t="inlineStr">
        <is>
          <t xml:space="preserve">Mobile App </t>
        </is>
      </c>
      <c r="K372" s="2" t="inlineStr">
        <is>
          <t>N</t>
        </is>
      </c>
    </row>
    <row r="373">
      <c r="A373" s="2" t="inlineStr">
        <is>
          <t>TXN100373</t>
        </is>
      </c>
      <c r="B373" s="2" t="inlineStr">
        <is>
          <t xml:space="preserve">  CUST0373 </t>
        </is>
      </c>
      <c r="C373" s="2" t="inlineStr">
        <is>
          <t>2026-06-01 11:12:00</t>
        </is>
      </c>
      <c r="D373" s="2" t="inlineStr">
        <is>
          <t>female</t>
        </is>
      </c>
      <c r="E373" s="2" t="n">
        <v>56</v>
      </c>
      <c r="F373" s="2" t="inlineStr">
        <is>
          <t>Checking</t>
        </is>
      </c>
      <c r="G373" s="2" t="inlineStr">
        <is>
          <t>Travel</t>
        </is>
      </c>
      <c r="H373" s="2" t="inlineStr">
        <is>
          <t>$1948.25</t>
        </is>
      </c>
      <c r="I373" s="2" t="n">
        <v>18729.54</v>
      </c>
      <c r="J373" s="2" t="inlineStr">
        <is>
          <t>ATM</t>
        </is>
      </c>
      <c r="K373" s="2" t="inlineStr">
        <is>
          <t>N</t>
        </is>
      </c>
    </row>
    <row r="374">
      <c r="A374" s="2" t="inlineStr">
        <is>
          <t>TXN100374</t>
        </is>
      </c>
      <c r="B374" s="2" t="inlineStr">
        <is>
          <t xml:space="preserve">  CUST0374 </t>
        </is>
      </c>
      <c r="C374" s="2" t="inlineStr">
        <is>
          <t>2026-06-01 06:46:00</t>
        </is>
      </c>
      <c r="D374" s="2" t="inlineStr">
        <is>
          <t>F</t>
        </is>
      </c>
      <c r="E374" s="2" t="n">
        <v>29</v>
      </c>
      <c r="F374" s="2" t="inlineStr">
        <is>
          <t>Savings</t>
        </is>
      </c>
      <c r="G374" s="2" t="inlineStr">
        <is>
          <t>Utilities</t>
        </is>
      </c>
      <c r="H374" s="2" t="inlineStr">
        <is>
          <t>$201.04</t>
        </is>
      </c>
      <c r="I374" s="2" t="n">
        <v>27306.49</v>
      </c>
      <c r="J374" s="2" t="inlineStr">
        <is>
          <t xml:space="preserve">Mobile App </t>
        </is>
      </c>
      <c r="K374" s="2" t="inlineStr">
        <is>
          <t>N</t>
        </is>
      </c>
    </row>
    <row r="375">
      <c r="A375" s="2" t="inlineStr">
        <is>
          <t>TXN100375</t>
        </is>
      </c>
      <c r="B375" s="2" t="inlineStr">
        <is>
          <t xml:space="preserve">  CUST0375 </t>
        </is>
      </c>
      <c r="C375" s="2" t="inlineStr">
        <is>
          <t>2026-06-01 10:00:00</t>
        </is>
      </c>
      <c r="D375" s="3" t="inlineStr"/>
      <c r="E375" s="2" t="n">
        <v>74</v>
      </c>
      <c r="F375" s="2" t="inlineStr">
        <is>
          <t>Investment</t>
        </is>
      </c>
      <c r="G375" s="2" t="inlineStr">
        <is>
          <t>Entertainment</t>
        </is>
      </c>
      <c r="H375" s="2" t="inlineStr">
        <is>
          <t>$840.55</t>
        </is>
      </c>
      <c r="I375" s="2" t="n">
        <v>26725.82</v>
      </c>
      <c r="J375" s="2" t="inlineStr">
        <is>
          <t>Online Banking</t>
        </is>
      </c>
      <c r="K375" s="2" t="inlineStr">
        <is>
          <t>N</t>
        </is>
      </c>
    </row>
    <row r="376">
      <c r="A376" s="2" t="inlineStr">
        <is>
          <t>TXN100376</t>
        </is>
      </c>
      <c r="B376" s="2" t="inlineStr">
        <is>
          <t xml:space="preserve">  CUST0376 </t>
        </is>
      </c>
      <c r="C376" s="2" t="inlineStr">
        <is>
          <t>2026-06-01 13:31:00</t>
        </is>
      </c>
      <c r="D376" s="2" t="inlineStr">
        <is>
          <t>M</t>
        </is>
      </c>
      <c r="E376" s="2" t="n">
        <v>29</v>
      </c>
      <c r="F376" s="2" t="inlineStr">
        <is>
          <t>Investment</t>
        </is>
      </c>
      <c r="G376" s="2" t="inlineStr">
        <is>
          <t>Entertainment</t>
        </is>
      </c>
      <c r="H376" s="2" t="inlineStr">
        <is>
          <t>$753.28</t>
        </is>
      </c>
      <c r="I376" s="2" t="n">
        <v>46103.08</v>
      </c>
      <c r="J376" s="2" t="inlineStr">
        <is>
          <t>ATM</t>
        </is>
      </c>
      <c r="K376" s="2" t="inlineStr">
        <is>
          <t>N</t>
        </is>
      </c>
    </row>
    <row r="377">
      <c r="A377" s="2" t="inlineStr">
        <is>
          <t>TXN100377</t>
        </is>
      </c>
      <c r="B377" s="2" t="inlineStr">
        <is>
          <t xml:space="preserve">  CUST0377 </t>
        </is>
      </c>
      <c r="C377" s="2" t="inlineStr">
        <is>
          <t>2026-06-01 22:57:00</t>
        </is>
      </c>
      <c r="D377" s="2" t="inlineStr">
        <is>
          <t>Female</t>
        </is>
      </c>
      <c r="E377" s="2" t="n">
        <v>49</v>
      </c>
      <c r="F377" s="2" t="inlineStr">
        <is>
          <t>Investment</t>
        </is>
      </c>
      <c r="G377" s="2" t="inlineStr">
        <is>
          <t>groceries</t>
        </is>
      </c>
      <c r="H377" s="2" t="inlineStr">
        <is>
          <t>$4650.36</t>
        </is>
      </c>
      <c r="I377" s="2" t="n">
        <v>25518.67</v>
      </c>
      <c r="J377" s="2" t="inlineStr">
        <is>
          <t>ATM</t>
        </is>
      </c>
      <c r="K377" s="2" t="inlineStr">
        <is>
          <t>N</t>
        </is>
      </c>
    </row>
    <row r="378">
      <c r="A378" s="2" t="inlineStr">
        <is>
          <t>TXN100378</t>
        </is>
      </c>
      <c r="B378" s="2" t="inlineStr">
        <is>
          <t xml:space="preserve">  CUST0378 </t>
        </is>
      </c>
      <c r="C378" s="2" t="inlineStr">
        <is>
          <t>2026-06-01 02:37:00</t>
        </is>
      </c>
      <c r="D378" s="2" t="inlineStr">
        <is>
          <t>M</t>
        </is>
      </c>
      <c r="E378" s="2" t="n">
        <v>47</v>
      </c>
      <c r="F378" s="2" t="inlineStr">
        <is>
          <t>Investment</t>
        </is>
      </c>
      <c r="G378" s="2" t="inlineStr">
        <is>
          <t>GROCERIES</t>
        </is>
      </c>
      <c r="H378" s="2" t="inlineStr">
        <is>
          <t>$1901.81</t>
        </is>
      </c>
      <c r="I378" s="2" t="n">
        <v>13419.05</v>
      </c>
      <c r="J378" s="2" t="inlineStr">
        <is>
          <t>Branch Office</t>
        </is>
      </c>
      <c r="K378" s="2" t="inlineStr">
        <is>
          <t>N</t>
        </is>
      </c>
    </row>
    <row r="379">
      <c r="A379" s="2" t="inlineStr">
        <is>
          <t>TXN100379</t>
        </is>
      </c>
      <c r="B379" s="2" t="inlineStr">
        <is>
          <t xml:space="preserve">  CUST0379 </t>
        </is>
      </c>
      <c r="C379" s="2" t="inlineStr">
        <is>
          <t>2026-06-01 12:44:00</t>
        </is>
      </c>
      <c r="D379" s="2" t="inlineStr">
        <is>
          <t>Female</t>
        </is>
      </c>
      <c r="E379" s="2" t="n">
        <v>40</v>
      </c>
      <c r="F379" s="2" t="inlineStr">
        <is>
          <t>Checking</t>
        </is>
      </c>
      <c r="G379" s="2" t="inlineStr">
        <is>
          <t>Entertainment</t>
        </is>
      </c>
      <c r="H379" s="2" t="inlineStr">
        <is>
          <t>$1876.55</t>
        </is>
      </c>
      <c r="I379" s="2" t="n">
        <v>47205.96</v>
      </c>
      <c r="J379" s="2" t="inlineStr">
        <is>
          <t>Online Banking</t>
        </is>
      </c>
      <c r="K379" s="2" t="inlineStr">
        <is>
          <t>N</t>
        </is>
      </c>
    </row>
    <row r="380">
      <c r="A380" s="2" t="inlineStr">
        <is>
          <t>TXN100380</t>
        </is>
      </c>
      <c r="B380" s="2" t="inlineStr">
        <is>
          <t xml:space="preserve">  CUST0380 </t>
        </is>
      </c>
      <c r="C380" s="2" t="inlineStr">
        <is>
          <t>2026-06-01 18:06:00</t>
        </is>
      </c>
      <c r="D380" s="2" t="inlineStr">
        <is>
          <t>Male</t>
        </is>
      </c>
      <c r="E380" s="2" t="n">
        <v>26</v>
      </c>
      <c r="F380" s="2" t="inlineStr">
        <is>
          <t>Savings</t>
        </is>
      </c>
      <c r="G380" s="2" t="inlineStr">
        <is>
          <t>Utilities</t>
        </is>
      </c>
      <c r="H380" s="2" t="inlineStr">
        <is>
          <t>$3733.78</t>
        </is>
      </c>
      <c r="I380" s="2" t="n">
        <v>20622.37</v>
      </c>
      <c r="J380" s="2" t="inlineStr">
        <is>
          <t>Branch Office</t>
        </is>
      </c>
      <c r="K380" s="2" t="inlineStr">
        <is>
          <t>N</t>
        </is>
      </c>
    </row>
    <row r="381">
      <c r="A381" s="2" t="inlineStr">
        <is>
          <t>TXN100381</t>
        </is>
      </c>
      <c r="B381" s="2" t="inlineStr">
        <is>
          <t xml:space="preserve">  CUST0381 </t>
        </is>
      </c>
      <c r="C381" s="2" t="inlineStr">
        <is>
          <t>2026-06-01 06:28:00</t>
        </is>
      </c>
      <c r="D381" s="2" t="inlineStr">
        <is>
          <t>female</t>
        </is>
      </c>
      <c r="E381" s="2" t="n">
        <v>49</v>
      </c>
      <c r="F381" s="2" t="inlineStr">
        <is>
          <t>Checking</t>
        </is>
      </c>
      <c r="G381" s="2" t="inlineStr">
        <is>
          <t>groceries</t>
        </is>
      </c>
      <c r="H381" s="2" t="inlineStr">
        <is>
          <t>$732.46</t>
        </is>
      </c>
      <c r="I381" s="2" t="n">
        <v>40476.05</v>
      </c>
      <c r="J381" s="2" t="inlineStr">
        <is>
          <t>Branch Office</t>
        </is>
      </c>
      <c r="K381" s="2" t="inlineStr">
        <is>
          <t>N</t>
        </is>
      </c>
    </row>
    <row r="382">
      <c r="A382" s="2" t="inlineStr">
        <is>
          <t>TXN100382</t>
        </is>
      </c>
      <c r="B382" s="2" t="inlineStr">
        <is>
          <t xml:space="preserve">  CUST0382 </t>
        </is>
      </c>
      <c r="C382" s="2" t="inlineStr">
        <is>
          <t>2026-06-01 22:44:00</t>
        </is>
      </c>
      <c r="D382" s="2" t="inlineStr">
        <is>
          <t>M</t>
        </is>
      </c>
      <c r="E382" s="2" t="n">
        <v>33</v>
      </c>
      <c r="F382" s="2" t="inlineStr">
        <is>
          <t>Checking</t>
        </is>
      </c>
      <c r="G382" s="2" t="inlineStr">
        <is>
          <t>GROCERIES</t>
        </is>
      </c>
      <c r="H382" s="2" t="inlineStr">
        <is>
          <t>$738.79</t>
        </is>
      </c>
      <c r="I382" s="2" t="n">
        <v>12786.83</v>
      </c>
      <c r="J382" s="2" t="inlineStr">
        <is>
          <t>Branch Office</t>
        </is>
      </c>
      <c r="K382" s="2" t="inlineStr">
        <is>
          <t>N</t>
        </is>
      </c>
    </row>
    <row r="383">
      <c r="A383" s="2" t="inlineStr">
        <is>
          <t>TXN100383</t>
        </is>
      </c>
      <c r="B383" s="2" t="inlineStr">
        <is>
          <t xml:space="preserve">  CUST0383 </t>
        </is>
      </c>
      <c r="C383" s="2" t="inlineStr">
        <is>
          <t>2026-06-01 12:32:00</t>
        </is>
      </c>
      <c r="D383" s="2" t="inlineStr">
        <is>
          <t>M</t>
        </is>
      </c>
      <c r="E383" s="2" t="n">
        <v>63</v>
      </c>
      <c r="F383" s="2" t="inlineStr">
        <is>
          <t>Checking</t>
        </is>
      </c>
      <c r="G383" s="2" t="inlineStr">
        <is>
          <t>Entertainment</t>
        </is>
      </c>
      <c r="H383" s="2" t="inlineStr">
        <is>
          <t>$6562.52</t>
        </is>
      </c>
      <c r="I383" s="2" t="n">
        <v>9106.450000000001</v>
      </c>
      <c r="J383" s="2" t="inlineStr">
        <is>
          <t>ATM</t>
        </is>
      </c>
      <c r="K383" s="2" t="inlineStr">
        <is>
          <t>N</t>
        </is>
      </c>
    </row>
    <row r="384">
      <c r="A384" s="2" t="inlineStr">
        <is>
          <t>TXN100384</t>
        </is>
      </c>
      <c r="B384" s="2" t="inlineStr">
        <is>
          <t xml:space="preserve">  CUST0384 </t>
        </is>
      </c>
      <c r="C384" s="2" t="inlineStr">
        <is>
          <t>2026-06-01 14:35:00</t>
        </is>
      </c>
      <c r="D384" s="2" t="inlineStr">
        <is>
          <t>F</t>
        </is>
      </c>
      <c r="E384" s="2" t="n">
        <v>26</v>
      </c>
      <c r="F384" s="2" t="inlineStr">
        <is>
          <t>Checking</t>
        </is>
      </c>
      <c r="G384" s="2" t="inlineStr">
        <is>
          <t>groceries</t>
        </is>
      </c>
      <c r="H384" s="2" t="inlineStr">
        <is>
          <t>$6433.14</t>
        </is>
      </c>
      <c r="I384" s="2" t="n">
        <v>7419.76</v>
      </c>
      <c r="J384" s="2" t="inlineStr">
        <is>
          <t xml:space="preserve">Mobile App </t>
        </is>
      </c>
      <c r="K384" s="2" t="inlineStr">
        <is>
          <t>N</t>
        </is>
      </c>
    </row>
    <row r="385">
      <c r="A385" s="2" t="inlineStr">
        <is>
          <t>TXN100385</t>
        </is>
      </c>
      <c r="B385" s="2" t="inlineStr">
        <is>
          <t xml:space="preserve">  CUST0385 </t>
        </is>
      </c>
      <c r="C385" s="2" t="inlineStr">
        <is>
          <t>2026-06-01 01:53:00</t>
        </is>
      </c>
      <c r="D385" s="2" t="inlineStr">
        <is>
          <t>F</t>
        </is>
      </c>
      <c r="E385" s="2" t="n">
        <v>28</v>
      </c>
      <c r="F385" s="2" t="inlineStr">
        <is>
          <t>Savings</t>
        </is>
      </c>
      <c r="G385" s="2" t="inlineStr">
        <is>
          <t>Utilities</t>
        </is>
      </c>
      <c r="H385" s="2" t="inlineStr">
        <is>
          <t>$2984.2</t>
        </is>
      </c>
      <c r="I385" s="2" t="n">
        <v>31699.73</v>
      </c>
      <c r="J385" s="2" t="inlineStr">
        <is>
          <t xml:space="preserve">Mobile App </t>
        </is>
      </c>
      <c r="K385" s="2" t="inlineStr">
        <is>
          <t>N</t>
        </is>
      </c>
    </row>
    <row r="386">
      <c r="A386" s="2" t="inlineStr">
        <is>
          <t>TXN100386</t>
        </is>
      </c>
      <c r="B386" s="2" t="inlineStr">
        <is>
          <t xml:space="preserve">  CUST0386 </t>
        </is>
      </c>
      <c r="C386" s="2" t="inlineStr">
        <is>
          <t>2026-06-01 18:37:00</t>
        </is>
      </c>
      <c r="D386" s="2" t="inlineStr">
        <is>
          <t>female</t>
        </is>
      </c>
      <c r="E386" s="2" t="n">
        <v>72</v>
      </c>
      <c r="F386" s="2" t="inlineStr">
        <is>
          <t>Savings</t>
        </is>
      </c>
      <c r="G386" s="2" t="inlineStr">
        <is>
          <t>groceries</t>
        </is>
      </c>
      <c r="H386" s="2" t="inlineStr">
        <is>
          <t>$7977.32</t>
        </is>
      </c>
      <c r="I386" s="2" t="n">
        <v>10288.64</v>
      </c>
      <c r="J386" s="2" t="inlineStr">
        <is>
          <t>ATM</t>
        </is>
      </c>
      <c r="K386" s="2" t="inlineStr">
        <is>
          <t>Y</t>
        </is>
      </c>
    </row>
    <row r="387">
      <c r="A387" s="2" t="inlineStr">
        <is>
          <t>TXN100387</t>
        </is>
      </c>
      <c r="B387" s="2" t="inlineStr">
        <is>
          <t xml:space="preserve">  CUST0387 </t>
        </is>
      </c>
      <c r="C387" s="2" t="inlineStr">
        <is>
          <t>2026-06-01 02:57:00</t>
        </is>
      </c>
      <c r="D387" s="2" t="inlineStr">
        <is>
          <t>Female</t>
        </is>
      </c>
      <c r="E387" s="2" t="n">
        <v>27</v>
      </c>
      <c r="F387" s="2" t="inlineStr">
        <is>
          <t>Savings</t>
        </is>
      </c>
      <c r="G387" s="2" t="inlineStr">
        <is>
          <t>Utilities</t>
        </is>
      </c>
      <c r="H387" s="2" t="inlineStr">
        <is>
          <t>$414.6</t>
        </is>
      </c>
      <c r="I387" s="2" t="n">
        <v>46244.52</v>
      </c>
      <c r="J387" s="2" t="inlineStr">
        <is>
          <t>ATM</t>
        </is>
      </c>
      <c r="K387" s="2" t="inlineStr">
        <is>
          <t>N</t>
        </is>
      </c>
    </row>
    <row r="388">
      <c r="A388" s="2" t="inlineStr">
        <is>
          <t>TXN100388</t>
        </is>
      </c>
      <c r="B388" s="2" t="inlineStr">
        <is>
          <t xml:space="preserve">  CUST0388 </t>
        </is>
      </c>
      <c r="C388" s="2" t="inlineStr">
        <is>
          <t>2026-06-01 23:25:00</t>
        </is>
      </c>
      <c r="D388" s="2" t="n"/>
      <c r="E388" s="2" t="n">
        <v>21</v>
      </c>
      <c r="F388" s="2" t="inlineStr">
        <is>
          <t>Checking</t>
        </is>
      </c>
      <c r="G388" s="2" t="inlineStr">
        <is>
          <t>Utilities</t>
        </is>
      </c>
      <c r="H388" s="2" t="inlineStr">
        <is>
          <t>$1390.73</t>
        </is>
      </c>
      <c r="I388" s="2" t="n">
        <v>11128.45</v>
      </c>
      <c r="J388" s="2" t="inlineStr">
        <is>
          <t>Online Banking</t>
        </is>
      </c>
      <c r="K388" s="2" t="inlineStr">
        <is>
          <t>N</t>
        </is>
      </c>
    </row>
    <row r="389">
      <c r="A389" s="2" t="inlineStr">
        <is>
          <t>TXN100389</t>
        </is>
      </c>
      <c r="B389" s="2" t="inlineStr">
        <is>
          <t xml:space="preserve">  CUST0389 </t>
        </is>
      </c>
      <c r="C389" s="2" t="inlineStr">
        <is>
          <t>2026-06-01 08:17:00</t>
        </is>
      </c>
      <c r="D389" s="2" t="n"/>
      <c r="E389" s="2" t="n">
        <v>29</v>
      </c>
      <c r="F389" s="2" t="inlineStr">
        <is>
          <t>Savings</t>
        </is>
      </c>
      <c r="G389" s="2" t="inlineStr">
        <is>
          <t>Travel</t>
        </is>
      </c>
      <c r="H389" s="2" t="inlineStr">
        <is>
          <t>$4957.22</t>
        </is>
      </c>
      <c r="I389" s="2" t="n">
        <v>12666.35</v>
      </c>
      <c r="J389" s="2" t="inlineStr">
        <is>
          <t>Branch Office</t>
        </is>
      </c>
      <c r="K389" s="2" t="inlineStr">
        <is>
          <t>N</t>
        </is>
      </c>
    </row>
    <row r="390">
      <c r="A390" s="2" t="inlineStr">
        <is>
          <t>TXN100390</t>
        </is>
      </c>
      <c r="B390" s="2" t="inlineStr">
        <is>
          <t xml:space="preserve">  CUST0390 </t>
        </is>
      </c>
      <c r="C390" s="2" t="inlineStr">
        <is>
          <t>2026-06-01 15:26:00</t>
        </is>
      </c>
      <c r="D390" s="2" t="n"/>
      <c r="E390" s="2" t="n">
        <v>23</v>
      </c>
      <c r="F390" s="2" t="inlineStr">
        <is>
          <t>Savings</t>
        </is>
      </c>
      <c r="G390" s="2" t="inlineStr">
        <is>
          <t>Entertainment</t>
        </is>
      </c>
      <c r="H390" s="2" t="inlineStr">
        <is>
          <t>$3070.29</t>
        </is>
      </c>
      <c r="I390" s="2" t="n">
        <v>21252.12</v>
      </c>
      <c r="J390" s="2" t="inlineStr">
        <is>
          <t>Online Banking</t>
        </is>
      </c>
      <c r="K390" s="2" t="inlineStr">
        <is>
          <t>N</t>
        </is>
      </c>
    </row>
    <row r="391">
      <c r="A391" s="2" t="inlineStr">
        <is>
          <t>TXN100391</t>
        </is>
      </c>
      <c r="B391" s="2" t="inlineStr">
        <is>
          <t xml:space="preserve">  CUST0391 </t>
        </is>
      </c>
      <c r="C391" s="2" t="inlineStr">
        <is>
          <t>2026-06-01 20:51:00</t>
        </is>
      </c>
      <c r="D391" s="2" t="inlineStr">
        <is>
          <t>M</t>
        </is>
      </c>
      <c r="E391" s="2" t="n">
        <v>44</v>
      </c>
      <c r="F391" s="2" t="inlineStr">
        <is>
          <t>Investment</t>
        </is>
      </c>
      <c r="G391" s="2" t="inlineStr">
        <is>
          <t>Entertainment</t>
        </is>
      </c>
      <c r="H391" s="2" t="inlineStr">
        <is>
          <t>$3842.68</t>
        </is>
      </c>
      <c r="I391" s="2" t="n">
        <v>39181.04</v>
      </c>
      <c r="J391" s="2" t="inlineStr">
        <is>
          <t>Branch Office</t>
        </is>
      </c>
      <c r="K391" s="2" t="inlineStr">
        <is>
          <t>N</t>
        </is>
      </c>
    </row>
    <row r="392">
      <c r="A392" s="2" t="inlineStr">
        <is>
          <t>TXN100392</t>
        </is>
      </c>
      <c r="B392" s="2" t="inlineStr">
        <is>
          <t xml:space="preserve">  CUST0392 </t>
        </is>
      </c>
      <c r="C392" s="2" t="inlineStr">
        <is>
          <t>2026-06-01 18:32:00</t>
        </is>
      </c>
      <c r="D392" s="2" t="inlineStr">
        <is>
          <t>Female</t>
        </is>
      </c>
      <c r="E392" s="2" t="n">
        <v>44</v>
      </c>
      <c r="F392" s="2" t="inlineStr">
        <is>
          <t>Checking</t>
        </is>
      </c>
      <c r="G392" s="2" t="inlineStr">
        <is>
          <t>GROCERIES</t>
        </is>
      </c>
      <c r="H392" s="2" t="inlineStr">
        <is>
          <t>$218.24</t>
        </is>
      </c>
      <c r="I392" s="2" t="n">
        <v>30057.26</v>
      </c>
      <c r="J392" s="2" t="inlineStr">
        <is>
          <t xml:space="preserve">Mobile App </t>
        </is>
      </c>
      <c r="K392" s="2" t="inlineStr">
        <is>
          <t>N</t>
        </is>
      </c>
    </row>
    <row r="393">
      <c r="A393" s="2" t="inlineStr">
        <is>
          <t>TXN100393</t>
        </is>
      </c>
      <c r="B393" s="2" t="inlineStr">
        <is>
          <t xml:space="preserve">  CUST0393 </t>
        </is>
      </c>
      <c r="C393" s="2" t="inlineStr">
        <is>
          <t>2026-06-01 08:03:00</t>
        </is>
      </c>
      <c r="D393" s="2" t="n"/>
      <c r="E393" s="2" t="n">
        <v>53</v>
      </c>
      <c r="F393" s="2" t="inlineStr">
        <is>
          <t>Checking</t>
        </is>
      </c>
      <c r="G393" s="2" t="inlineStr">
        <is>
          <t>Travel</t>
        </is>
      </c>
      <c r="H393" s="2" t="inlineStr">
        <is>
          <t>$7996.85</t>
        </is>
      </c>
      <c r="I393" s="2" t="n">
        <v>48712</v>
      </c>
      <c r="J393" s="2" t="inlineStr">
        <is>
          <t xml:space="preserve">Mobile App </t>
        </is>
      </c>
      <c r="K393" s="2" t="inlineStr">
        <is>
          <t>N</t>
        </is>
      </c>
    </row>
    <row r="394">
      <c r="A394" s="2" t="inlineStr">
        <is>
          <t>TXN100394</t>
        </is>
      </c>
      <c r="B394" s="2" t="inlineStr">
        <is>
          <t xml:space="preserve">  CUST0394 </t>
        </is>
      </c>
      <c r="C394" s="2" t="inlineStr">
        <is>
          <t>2026-06-01 07:17:00</t>
        </is>
      </c>
      <c r="D394" s="2" t="inlineStr">
        <is>
          <t>M</t>
        </is>
      </c>
      <c r="E394" s="2" t="n">
        <v>68</v>
      </c>
      <c r="F394" s="2" t="inlineStr">
        <is>
          <t>Savings</t>
        </is>
      </c>
      <c r="G394" s="2" t="inlineStr">
        <is>
          <t>Travel</t>
        </is>
      </c>
      <c r="H394" s="2" t="inlineStr">
        <is>
          <t>$6773.58</t>
        </is>
      </c>
      <c r="I394" s="2" t="n">
        <v>39970.84</v>
      </c>
      <c r="J394" s="2" t="inlineStr">
        <is>
          <t>Branch Office</t>
        </is>
      </c>
      <c r="K394" s="2" t="inlineStr">
        <is>
          <t>N</t>
        </is>
      </c>
    </row>
    <row r="395">
      <c r="A395" s="2" t="inlineStr">
        <is>
          <t>TXN100395</t>
        </is>
      </c>
      <c r="B395" s="2" t="inlineStr">
        <is>
          <t xml:space="preserve">  CUST0395 </t>
        </is>
      </c>
      <c r="C395" s="2" t="inlineStr">
        <is>
          <t>2026-06-01 05:11:00</t>
        </is>
      </c>
      <c r="D395" s="2" t="inlineStr">
        <is>
          <t>F</t>
        </is>
      </c>
      <c r="E395" s="2" t="n">
        <v>57</v>
      </c>
      <c r="F395" s="2" t="inlineStr">
        <is>
          <t>Checking</t>
        </is>
      </c>
      <c r="G395" s="2" t="inlineStr">
        <is>
          <t>Entertainment</t>
        </is>
      </c>
      <c r="H395" s="2" t="inlineStr">
        <is>
          <t>$7312.7</t>
        </is>
      </c>
      <c r="I395" s="2" t="n">
        <v>1896.23</v>
      </c>
      <c r="J395" s="2" t="inlineStr">
        <is>
          <t>Branch Office</t>
        </is>
      </c>
      <c r="K395" s="2" t="inlineStr">
        <is>
          <t>Y</t>
        </is>
      </c>
    </row>
    <row r="396">
      <c r="A396" s="2" t="inlineStr">
        <is>
          <t>TXN100396</t>
        </is>
      </c>
      <c r="B396" s="2" t="inlineStr">
        <is>
          <t xml:space="preserve">  CUST0396 </t>
        </is>
      </c>
      <c r="C396" s="2" t="inlineStr">
        <is>
          <t>2026-06-01 18:09:00</t>
        </is>
      </c>
      <c r="D396" s="2" t="inlineStr">
        <is>
          <t>F</t>
        </is>
      </c>
      <c r="E396" s="2" t="n">
        <v>73</v>
      </c>
      <c r="F396" s="2" t="inlineStr">
        <is>
          <t>Checking</t>
        </is>
      </c>
      <c r="G396" s="2" t="inlineStr">
        <is>
          <t>Travel</t>
        </is>
      </c>
      <c r="H396" s="2" t="inlineStr">
        <is>
          <t>$2479.33</t>
        </is>
      </c>
      <c r="I396" s="2" t="n">
        <v>24776.6</v>
      </c>
      <c r="J396" s="2" t="inlineStr">
        <is>
          <t xml:space="preserve">Mobile App </t>
        </is>
      </c>
      <c r="K396" s="2" t="inlineStr">
        <is>
          <t>N</t>
        </is>
      </c>
    </row>
    <row r="397">
      <c r="A397" s="2" t="inlineStr">
        <is>
          <t>TXN100397</t>
        </is>
      </c>
      <c r="B397" s="2" t="inlineStr">
        <is>
          <t xml:space="preserve">  CUST0397 </t>
        </is>
      </c>
      <c r="C397" s="2" t="inlineStr">
        <is>
          <t>2026-06-01 01:14:00</t>
        </is>
      </c>
      <c r="D397" s="2" t="inlineStr">
        <is>
          <t>F</t>
        </is>
      </c>
      <c r="E397" s="2" t="n">
        <v>21</v>
      </c>
      <c r="F397" s="2" t="inlineStr">
        <is>
          <t>Investment</t>
        </is>
      </c>
      <c r="G397" s="2" t="inlineStr">
        <is>
          <t>Utilities</t>
        </is>
      </c>
      <c r="H397" s="2" t="inlineStr">
        <is>
          <t>$15.46</t>
        </is>
      </c>
      <c r="I397" s="2" t="n">
        <v>45935.86</v>
      </c>
      <c r="J397" s="2" t="inlineStr">
        <is>
          <t>Online Banking</t>
        </is>
      </c>
      <c r="K397" s="2" t="inlineStr">
        <is>
          <t>N</t>
        </is>
      </c>
    </row>
    <row r="398">
      <c r="A398" s="2" t="inlineStr">
        <is>
          <t>TXN100398</t>
        </is>
      </c>
      <c r="B398" s="2" t="inlineStr">
        <is>
          <t xml:space="preserve">  CUST0398 </t>
        </is>
      </c>
      <c r="C398" s="2" t="inlineStr">
        <is>
          <t>2026-06-01 04:21:00</t>
        </is>
      </c>
      <c r="D398" s="2" t="inlineStr">
        <is>
          <t>Male</t>
        </is>
      </c>
      <c r="E398" s="2" t="n">
        <v>71</v>
      </c>
      <c r="F398" s="2" t="inlineStr">
        <is>
          <t>Checking</t>
        </is>
      </c>
      <c r="G398" s="2" t="inlineStr">
        <is>
          <t>groceries</t>
        </is>
      </c>
      <c r="H398" s="2" t="inlineStr">
        <is>
          <t>$185.08</t>
        </is>
      </c>
      <c r="I398" s="2" t="n">
        <v>29537.15</v>
      </c>
      <c r="J398" s="2" t="inlineStr">
        <is>
          <t>Online Banking</t>
        </is>
      </c>
      <c r="K398" s="2" t="inlineStr">
        <is>
          <t>N</t>
        </is>
      </c>
    </row>
    <row r="399">
      <c r="A399" s="2" t="inlineStr">
        <is>
          <t>TXN100399</t>
        </is>
      </c>
      <c r="B399" s="2" t="inlineStr">
        <is>
          <t xml:space="preserve">  CUST0399 </t>
        </is>
      </c>
      <c r="C399" s="2" t="inlineStr">
        <is>
          <t>2026-06-01 03:54:00</t>
        </is>
      </c>
      <c r="D399" s="2" t="inlineStr">
        <is>
          <t>Female</t>
        </is>
      </c>
      <c r="E399" s="2" t="n">
        <v>24</v>
      </c>
      <c r="F399" s="2" t="inlineStr">
        <is>
          <t>Checking</t>
        </is>
      </c>
      <c r="G399" s="2" t="inlineStr">
        <is>
          <t>Utilities</t>
        </is>
      </c>
      <c r="H399" s="2" t="inlineStr">
        <is>
          <t>$4692.27</t>
        </is>
      </c>
      <c r="I399" s="2" t="n">
        <v>17159.77</v>
      </c>
      <c r="J399" s="2" t="inlineStr">
        <is>
          <t>Branch Office</t>
        </is>
      </c>
      <c r="K399" s="2" t="inlineStr">
        <is>
          <t>N</t>
        </is>
      </c>
    </row>
    <row r="400">
      <c r="A400" s="2" t="inlineStr">
        <is>
          <t>TXN100400</t>
        </is>
      </c>
      <c r="B400" s="2" t="inlineStr">
        <is>
          <t xml:space="preserve">  CUST0400 </t>
        </is>
      </c>
      <c r="C400" s="2" t="inlineStr">
        <is>
          <t>2026-06-01 04:10:00</t>
        </is>
      </c>
      <c r="D400" s="3" t="inlineStr"/>
      <c r="E400" s="2" t="n">
        <v>70</v>
      </c>
      <c r="F400" s="2" t="inlineStr">
        <is>
          <t>Investment</t>
        </is>
      </c>
      <c r="G400" s="2" t="inlineStr">
        <is>
          <t>Utilities</t>
        </is>
      </c>
      <c r="H400" s="2" t="inlineStr">
        <is>
          <t>$5196.95</t>
        </is>
      </c>
      <c r="I400" s="2" t="n">
        <v>9123.030000000001</v>
      </c>
      <c r="J400" s="2" t="inlineStr">
        <is>
          <t>Branch Office</t>
        </is>
      </c>
      <c r="K400" s="2" t="inlineStr">
        <is>
          <t>N</t>
        </is>
      </c>
    </row>
    <row r="401">
      <c r="A401" s="2" t="inlineStr">
        <is>
          <t>TXN100401</t>
        </is>
      </c>
      <c r="B401" s="2" t="inlineStr">
        <is>
          <t xml:space="preserve">  CUST0401 </t>
        </is>
      </c>
      <c r="C401" s="2" t="inlineStr">
        <is>
          <t>2026-06-01 07:42:00</t>
        </is>
      </c>
      <c r="D401" s="2" t="inlineStr">
        <is>
          <t>Male</t>
        </is>
      </c>
      <c r="E401" s="2" t="n">
        <v>44</v>
      </c>
      <c r="F401" s="2" t="inlineStr">
        <is>
          <t>Checking</t>
        </is>
      </c>
      <c r="G401" s="2" t="inlineStr">
        <is>
          <t>Entertainment</t>
        </is>
      </c>
      <c r="H401" s="2" t="inlineStr">
        <is>
          <t>$1027.51</t>
        </is>
      </c>
      <c r="I401" s="2" t="n">
        <v>36577.13</v>
      </c>
      <c r="J401" s="2" t="inlineStr">
        <is>
          <t>ATM</t>
        </is>
      </c>
      <c r="K401" s="2" t="inlineStr">
        <is>
          <t>N</t>
        </is>
      </c>
    </row>
    <row r="402">
      <c r="A402" s="2" t="inlineStr">
        <is>
          <t>TXN100402</t>
        </is>
      </c>
      <c r="B402" s="2" t="inlineStr">
        <is>
          <t xml:space="preserve">  CUST0402 </t>
        </is>
      </c>
      <c r="C402" s="2" t="inlineStr">
        <is>
          <t>2026-06-01 18:02:00</t>
        </is>
      </c>
      <c r="D402" s="2" t="inlineStr">
        <is>
          <t>Male</t>
        </is>
      </c>
      <c r="E402" s="2" t="n">
        <v>58</v>
      </c>
      <c r="F402" s="2" t="inlineStr">
        <is>
          <t>Checking</t>
        </is>
      </c>
      <c r="G402" s="2" t="inlineStr">
        <is>
          <t>Travel</t>
        </is>
      </c>
      <c r="H402" s="2" t="inlineStr">
        <is>
          <t>$1774.95</t>
        </is>
      </c>
      <c r="I402" s="2" t="n">
        <v>28494.74</v>
      </c>
      <c r="J402" s="2" t="inlineStr">
        <is>
          <t>ATM</t>
        </is>
      </c>
      <c r="K402" s="2" t="inlineStr">
        <is>
          <t>N</t>
        </is>
      </c>
    </row>
    <row r="403">
      <c r="A403" s="2" t="inlineStr">
        <is>
          <t>TXN100403</t>
        </is>
      </c>
      <c r="B403" s="2" t="inlineStr">
        <is>
          <t xml:space="preserve">  CUST0403 </t>
        </is>
      </c>
      <c r="C403" s="2" t="inlineStr">
        <is>
          <t>2026-06-01 04:21:00</t>
        </is>
      </c>
      <c r="D403" s="2" t="inlineStr">
        <is>
          <t>MALE</t>
        </is>
      </c>
      <c r="E403" s="2" t="n">
        <v>35</v>
      </c>
      <c r="F403" s="2" t="inlineStr">
        <is>
          <t>Checking</t>
        </is>
      </c>
      <c r="G403" s="2" t="inlineStr">
        <is>
          <t>Entertainment</t>
        </is>
      </c>
      <c r="H403" s="2" t="inlineStr">
        <is>
          <t>$1351.42</t>
        </is>
      </c>
      <c r="I403" s="2" t="n">
        <v>44323.35</v>
      </c>
      <c r="J403" s="2" t="inlineStr">
        <is>
          <t xml:space="preserve">Mobile App </t>
        </is>
      </c>
      <c r="K403" s="2" t="inlineStr">
        <is>
          <t>N</t>
        </is>
      </c>
    </row>
    <row r="404">
      <c r="A404" s="2" t="inlineStr">
        <is>
          <t>TXN100404</t>
        </is>
      </c>
      <c r="B404" s="2" t="inlineStr">
        <is>
          <t xml:space="preserve">  CUST0404 </t>
        </is>
      </c>
      <c r="C404" s="2" t="inlineStr">
        <is>
          <t>2026-06-01 22:42:00</t>
        </is>
      </c>
      <c r="D404" s="2" t="inlineStr">
        <is>
          <t>Female</t>
        </is>
      </c>
      <c r="E404" s="2" t="n">
        <v>48</v>
      </c>
      <c r="F404" s="2" t="inlineStr">
        <is>
          <t>Savings</t>
        </is>
      </c>
      <c r="G404" s="2" t="inlineStr">
        <is>
          <t>Entertainment</t>
        </is>
      </c>
      <c r="H404" s="2" t="inlineStr">
        <is>
          <t>$1685.38</t>
        </is>
      </c>
      <c r="I404" s="2" t="n">
        <v>34812.22</v>
      </c>
      <c r="J404" s="2" t="inlineStr">
        <is>
          <t>Branch Office</t>
        </is>
      </c>
      <c r="K404" s="2" t="inlineStr">
        <is>
          <t>N</t>
        </is>
      </c>
    </row>
    <row r="405">
      <c r="A405" s="2" t="inlineStr">
        <is>
          <t>TXN100405</t>
        </is>
      </c>
      <c r="B405" s="2" t="inlineStr">
        <is>
          <t xml:space="preserve">  CUST0405 </t>
        </is>
      </c>
      <c r="C405" s="2" t="inlineStr">
        <is>
          <t>2026-06-01 08:50:00</t>
        </is>
      </c>
      <c r="D405" s="2" t="inlineStr">
        <is>
          <t>MALE</t>
        </is>
      </c>
      <c r="E405" s="2" t="n">
        <v>66</v>
      </c>
      <c r="F405" s="2" t="inlineStr">
        <is>
          <t>Savings</t>
        </is>
      </c>
      <c r="G405" s="2" t="inlineStr">
        <is>
          <t>groceries</t>
        </is>
      </c>
      <c r="H405" s="2" t="inlineStr">
        <is>
          <t>$3093.64</t>
        </is>
      </c>
      <c r="I405" s="2" t="n">
        <v>36762.93</v>
      </c>
      <c r="J405" s="2" t="inlineStr">
        <is>
          <t>Online Banking</t>
        </is>
      </c>
      <c r="K405" s="2" t="inlineStr">
        <is>
          <t>N</t>
        </is>
      </c>
    </row>
    <row r="406">
      <c r="A406" s="2" t="inlineStr">
        <is>
          <t>TXN100406</t>
        </is>
      </c>
      <c r="B406" s="2" t="inlineStr">
        <is>
          <t xml:space="preserve">  CUST0406 </t>
        </is>
      </c>
      <c r="C406" s="2" t="inlineStr">
        <is>
          <t>2026-06-01 13:31:00</t>
        </is>
      </c>
      <c r="D406" s="3" t="inlineStr"/>
      <c r="E406" s="2" t="n">
        <v>42</v>
      </c>
      <c r="F406" s="2" t="inlineStr">
        <is>
          <t>Investment</t>
        </is>
      </c>
      <c r="G406" s="2" t="inlineStr">
        <is>
          <t>Utilities</t>
        </is>
      </c>
      <c r="H406" s="2" t="inlineStr">
        <is>
          <t>$820.41</t>
        </is>
      </c>
      <c r="I406" s="2" t="n">
        <v>24234.72</v>
      </c>
      <c r="J406" s="2" t="inlineStr">
        <is>
          <t>Online Banking</t>
        </is>
      </c>
      <c r="K406" s="2" t="inlineStr">
        <is>
          <t>N</t>
        </is>
      </c>
    </row>
    <row r="407">
      <c r="A407" s="2" t="inlineStr">
        <is>
          <t>TXN100407</t>
        </is>
      </c>
      <c r="B407" s="2" t="inlineStr">
        <is>
          <t xml:space="preserve">  CUST0407 </t>
        </is>
      </c>
      <c r="C407" s="2" t="inlineStr">
        <is>
          <t>2026-06-01 05:28:00</t>
        </is>
      </c>
      <c r="D407" s="2" t="inlineStr">
        <is>
          <t>MALE</t>
        </is>
      </c>
      <c r="E407" s="2" t="n">
        <v>71</v>
      </c>
      <c r="F407" s="2" t="inlineStr">
        <is>
          <t>Savings</t>
        </is>
      </c>
      <c r="G407" s="2" t="inlineStr">
        <is>
          <t>Entertainment</t>
        </is>
      </c>
      <c r="H407" s="2" t="inlineStr">
        <is>
          <t>$170.42</t>
        </is>
      </c>
      <c r="I407" s="2" t="n">
        <v>13425.82</v>
      </c>
      <c r="J407" s="2" t="inlineStr">
        <is>
          <t xml:space="preserve">Mobile App </t>
        </is>
      </c>
      <c r="K407" s="2" t="inlineStr">
        <is>
          <t>N</t>
        </is>
      </c>
    </row>
    <row r="408">
      <c r="A408" s="2" t="inlineStr">
        <is>
          <t>TXN100408</t>
        </is>
      </c>
      <c r="B408" s="2" t="inlineStr">
        <is>
          <t xml:space="preserve">  CUST0408 </t>
        </is>
      </c>
      <c r="C408" s="2" t="inlineStr">
        <is>
          <t>2026-06-01 02:21:00</t>
        </is>
      </c>
      <c r="D408" s="2" t="inlineStr">
        <is>
          <t>Male</t>
        </is>
      </c>
      <c r="E408" s="2" t="n">
        <v>44</v>
      </c>
      <c r="F408" s="2" t="inlineStr">
        <is>
          <t>Savings</t>
        </is>
      </c>
      <c r="G408" s="2" t="inlineStr">
        <is>
          <t>groceries</t>
        </is>
      </c>
      <c r="H408" s="2" t="inlineStr">
        <is>
          <t>$4380.9</t>
        </is>
      </c>
      <c r="I408" s="2" t="n">
        <v>44957.15</v>
      </c>
      <c r="J408" s="2" t="inlineStr">
        <is>
          <t xml:space="preserve">Mobile App </t>
        </is>
      </c>
      <c r="K408" s="2" t="inlineStr">
        <is>
          <t>N</t>
        </is>
      </c>
    </row>
    <row r="409">
      <c r="A409" s="2" t="inlineStr">
        <is>
          <t>TXN100409</t>
        </is>
      </c>
      <c r="B409" s="2" t="inlineStr">
        <is>
          <t xml:space="preserve">  CUST0409 </t>
        </is>
      </c>
      <c r="C409" s="2" t="inlineStr">
        <is>
          <t>2026-06-01 10:38:00</t>
        </is>
      </c>
      <c r="D409" s="2" t="n"/>
      <c r="E409" s="2" t="n">
        <v>65</v>
      </c>
      <c r="F409" s="2" t="inlineStr">
        <is>
          <t>Savings</t>
        </is>
      </c>
      <c r="G409" s="2" t="inlineStr">
        <is>
          <t>Utilities</t>
        </is>
      </c>
      <c r="H409" s="2" t="inlineStr">
        <is>
          <t>$7540.11</t>
        </is>
      </c>
      <c r="I409" s="2" t="n">
        <v>8667.360000000001</v>
      </c>
      <c r="J409" s="2" t="inlineStr">
        <is>
          <t>ATM</t>
        </is>
      </c>
      <c r="K409" s="2" t="inlineStr">
        <is>
          <t>N</t>
        </is>
      </c>
    </row>
    <row r="410">
      <c r="A410" s="2" t="inlineStr">
        <is>
          <t>TXN100410</t>
        </is>
      </c>
      <c r="B410" s="2" t="inlineStr">
        <is>
          <t xml:space="preserve">  CUST0410 </t>
        </is>
      </c>
      <c r="C410" s="2" t="inlineStr">
        <is>
          <t>2026-06-01 03:21:00</t>
        </is>
      </c>
      <c r="D410" s="2" t="inlineStr">
        <is>
          <t>F</t>
        </is>
      </c>
      <c r="E410" s="2" t="n">
        <v>32</v>
      </c>
      <c r="F410" s="2" t="inlineStr">
        <is>
          <t>Checking</t>
        </is>
      </c>
      <c r="G410" s="2" t="inlineStr">
        <is>
          <t>Travel</t>
        </is>
      </c>
      <c r="H410" s="2" t="inlineStr">
        <is>
          <t>$5779.08</t>
        </is>
      </c>
      <c r="I410" s="2" t="n">
        <v>36633.71</v>
      </c>
      <c r="J410" s="2" t="inlineStr">
        <is>
          <t>Branch Office</t>
        </is>
      </c>
      <c r="K410" s="2" t="inlineStr">
        <is>
          <t>N</t>
        </is>
      </c>
    </row>
    <row r="411">
      <c r="A411" s="2" t="inlineStr">
        <is>
          <t>TXN100411</t>
        </is>
      </c>
      <c r="B411" s="2" t="inlineStr">
        <is>
          <t xml:space="preserve">  CUST0411 </t>
        </is>
      </c>
      <c r="C411" s="2" t="inlineStr">
        <is>
          <t>2026-06-01 21:18:00</t>
        </is>
      </c>
      <c r="D411" s="2" t="inlineStr">
        <is>
          <t>female</t>
        </is>
      </c>
      <c r="E411" s="2" t="n">
        <v>35</v>
      </c>
      <c r="F411" s="2" t="inlineStr">
        <is>
          <t>Savings</t>
        </is>
      </c>
      <c r="G411" s="2" t="inlineStr">
        <is>
          <t>groceries</t>
        </is>
      </c>
      <c r="H411" s="2" t="inlineStr">
        <is>
          <t>$3149.29</t>
        </is>
      </c>
      <c r="I411" s="2" t="n">
        <v>27708.3</v>
      </c>
      <c r="J411" s="2" t="inlineStr">
        <is>
          <t>ATM</t>
        </is>
      </c>
      <c r="K411" s="2" t="inlineStr">
        <is>
          <t>N</t>
        </is>
      </c>
    </row>
    <row r="412">
      <c r="A412" s="2" t="inlineStr">
        <is>
          <t>TXN100412</t>
        </is>
      </c>
      <c r="B412" s="2" t="inlineStr">
        <is>
          <t xml:space="preserve">  CUST0412 </t>
        </is>
      </c>
      <c r="C412" s="2" t="inlineStr">
        <is>
          <t>2026-06-01 04:03:00</t>
        </is>
      </c>
      <c r="D412" s="2" t="inlineStr">
        <is>
          <t>Female</t>
        </is>
      </c>
      <c r="E412" s="2" t="n">
        <v>20</v>
      </c>
      <c r="F412" s="2" t="inlineStr">
        <is>
          <t>Checking</t>
        </is>
      </c>
      <c r="G412" s="2" t="inlineStr">
        <is>
          <t>groceries</t>
        </is>
      </c>
      <c r="H412" s="2" t="inlineStr">
        <is>
          <t>$2363.45</t>
        </is>
      </c>
      <c r="I412" s="2" t="n">
        <v>33270</v>
      </c>
      <c r="J412" s="2" t="inlineStr">
        <is>
          <t>ATM</t>
        </is>
      </c>
      <c r="K412" s="2" t="inlineStr">
        <is>
          <t>N</t>
        </is>
      </c>
    </row>
    <row r="413">
      <c r="A413" s="2" t="inlineStr">
        <is>
          <t>TXN100413</t>
        </is>
      </c>
      <c r="B413" s="2" t="inlineStr">
        <is>
          <t xml:space="preserve">  CUST0413 </t>
        </is>
      </c>
      <c r="C413" s="2" t="inlineStr">
        <is>
          <t>2026-06-01 06:06:00</t>
        </is>
      </c>
      <c r="D413" s="2" t="inlineStr">
        <is>
          <t>M</t>
        </is>
      </c>
      <c r="E413" s="2" t="n">
        <v>33</v>
      </c>
      <c r="F413" s="2" t="inlineStr">
        <is>
          <t>Savings</t>
        </is>
      </c>
      <c r="G413" s="2" t="inlineStr">
        <is>
          <t>Entertainment</t>
        </is>
      </c>
      <c r="H413" s="2" t="inlineStr">
        <is>
          <t>$7816.69</t>
        </is>
      </c>
      <c r="I413" s="2" t="n">
        <v>23941.75</v>
      </c>
      <c r="J413" s="2" t="inlineStr">
        <is>
          <t xml:space="preserve">Mobile App </t>
        </is>
      </c>
      <c r="K413" s="2" t="inlineStr">
        <is>
          <t>N</t>
        </is>
      </c>
    </row>
    <row r="414">
      <c r="A414" s="2" t="inlineStr">
        <is>
          <t>TXN100414</t>
        </is>
      </c>
      <c r="B414" s="2" t="inlineStr">
        <is>
          <t xml:space="preserve">  CUST0414 </t>
        </is>
      </c>
      <c r="C414" s="2" t="inlineStr">
        <is>
          <t>2026-06-01 12:30:00</t>
        </is>
      </c>
      <c r="D414" s="2" t="n"/>
      <c r="E414" s="2" t="n">
        <v>62</v>
      </c>
      <c r="F414" s="2" t="inlineStr">
        <is>
          <t>Checking</t>
        </is>
      </c>
      <c r="G414" s="2" t="inlineStr">
        <is>
          <t>groceries</t>
        </is>
      </c>
      <c r="H414" s="2" t="inlineStr">
        <is>
          <t>$5138.51</t>
        </is>
      </c>
      <c r="I414" s="2" t="n">
        <v>19682.59</v>
      </c>
      <c r="J414" s="2" t="inlineStr">
        <is>
          <t>Branch Office</t>
        </is>
      </c>
      <c r="K414" s="2" t="inlineStr">
        <is>
          <t>N</t>
        </is>
      </c>
    </row>
    <row r="415">
      <c r="A415" s="2" t="inlineStr">
        <is>
          <t>TXN100415</t>
        </is>
      </c>
      <c r="B415" s="2" t="inlineStr">
        <is>
          <t xml:space="preserve">  CUST0415 </t>
        </is>
      </c>
      <c r="C415" s="2" t="inlineStr">
        <is>
          <t>2026-06-01 12:23:00</t>
        </is>
      </c>
      <c r="D415" s="2" t="inlineStr">
        <is>
          <t>Male</t>
        </is>
      </c>
      <c r="E415" s="2" t="n">
        <v>48</v>
      </c>
      <c r="F415" s="2" t="inlineStr">
        <is>
          <t>Savings</t>
        </is>
      </c>
      <c r="G415" s="2" t="inlineStr">
        <is>
          <t>Entertainment</t>
        </is>
      </c>
      <c r="H415" s="2" t="inlineStr">
        <is>
          <t>$3523.53</t>
        </is>
      </c>
      <c r="I415" s="2" t="n">
        <v>13538.34</v>
      </c>
      <c r="J415" s="2" t="inlineStr">
        <is>
          <t>Branch Office</t>
        </is>
      </c>
      <c r="K415" s="2" t="inlineStr">
        <is>
          <t>N</t>
        </is>
      </c>
    </row>
    <row r="416">
      <c r="A416" s="2" t="inlineStr">
        <is>
          <t>TXN100416</t>
        </is>
      </c>
      <c r="B416" s="2" t="inlineStr">
        <is>
          <t xml:space="preserve">  CUST0416 </t>
        </is>
      </c>
      <c r="C416" s="2" t="inlineStr">
        <is>
          <t>2026-06-01 18:03:00</t>
        </is>
      </c>
      <c r="D416" s="2" t="inlineStr">
        <is>
          <t>Male</t>
        </is>
      </c>
      <c r="E416" s="2" t="n">
        <v>68</v>
      </c>
      <c r="F416" s="2" t="inlineStr">
        <is>
          <t>Investment</t>
        </is>
      </c>
      <c r="G416" s="2" t="inlineStr">
        <is>
          <t>groceries</t>
        </is>
      </c>
      <c r="H416" s="2" t="inlineStr">
        <is>
          <t>$694.8</t>
        </is>
      </c>
      <c r="I416" s="2" t="n">
        <v>17517.67</v>
      </c>
      <c r="J416" s="2" t="inlineStr">
        <is>
          <t>ATM</t>
        </is>
      </c>
      <c r="K416" s="2" t="inlineStr">
        <is>
          <t>N</t>
        </is>
      </c>
    </row>
    <row r="417">
      <c r="A417" s="2" t="inlineStr">
        <is>
          <t>TXN100417</t>
        </is>
      </c>
      <c r="B417" s="2" t="inlineStr">
        <is>
          <t xml:space="preserve">  CUST0417 </t>
        </is>
      </c>
      <c r="C417" s="2" t="inlineStr">
        <is>
          <t>2026-06-01 18:14:00</t>
        </is>
      </c>
      <c r="D417" s="2" t="inlineStr">
        <is>
          <t>M</t>
        </is>
      </c>
      <c r="E417" s="2" t="n">
        <v>73</v>
      </c>
      <c r="F417" s="2" t="inlineStr">
        <is>
          <t>Checking</t>
        </is>
      </c>
      <c r="G417" s="2" t="inlineStr">
        <is>
          <t>Travel</t>
        </is>
      </c>
      <c r="H417" s="2" t="inlineStr">
        <is>
          <t>$3354.87</t>
        </is>
      </c>
      <c r="I417" s="2" t="n">
        <v>27007.96</v>
      </c>
      <c r="J417" s="2" t="inlineStr">
        <is>
          <t>ATM</t>
        </is>
      </c>
      <c r="K417" s="2" t="inlineStr">
        <is>
          <t>N</t>
        </is>
      </c>
    </row>
    <row r="418">
      <c r="A418" s="2" t="inlineStr">
        <is>
          <t>TXN100418</t>
        </is>
      </c>
      <c r="B418" s="2" t="inlineStr">
        <is>
          <t xml:space="preserve">  CUST0418 </t>
        </is>
      </c>
      <c r="C418" s="2" t="inlineStr">
        <is>
          <t>2026-06-01 18:56:00</t>
        </is>
      </c>
      <c r="D418" s="2" t="inlineStr">
        <is>
          <t>F</t>
        </is>
      </c>
      <c r="E418" s="2" t="n">
        <v>50</v>
      </c>
      <c r="F418" s="2" t="inlineStr">
        <is>
          <t>Checking</t>
        </is>
      </c>
      <c r="G418" s="2" t="inlineStr">
        <is>
          <t>groceries</t>
        </is>
      </c>
      <c r="H418" s="2" t="inlineStr">
        <is>
          <t>$3164.49</t>
        </is>
      </c>
      <c r="I418" s="2" t="n">
        <v>42770.02</v>
      </c>
      <c r="J418" s="2" t="inlineStr">
        <is>
          <t xml:space="preserve">Mobile App </t>
        </is>
      </c>
      <c r="K418" s="2" t="inlineStr">
        <is>
          <t>N</t>
        </is>
      </c>
    </row>
    <row r="419">
      <c r="A419" s="2" t="inlineStr">
        <is>
          <t>TXN100419</t>
        </is>
      </c>
      <c r="B419" s="2" t="inlineStr">
        <is>
          <t xml:space="preserve">  CUST0419 </t>
        </is>
      </c>
      <c r="C419" s="2" t="inlineStr">
        <is>
          <t>2026-06-01 16:36:00</t>
        </is>
      </c>
      <c r="D419" s="2" t="inlineStr">
        <is>
          <t>Male</t>
        </is>
      </c>
      <c r="E419" s="2" t="n">
        <v>27</v>
      </c>
      <c r="F419" s="2" t="inlineStr">
        <is>
          <t>Checking</t>
        </is>
      </c>
      <c r="G419" s="2" t="inlineStr">
        <is>
          <t>GROCERIES</t>
        </is>
      </c>
      <c r="H419" s="2" t="inlineStr">
        <is>
          <t>$7593.0</t>
        </is>
      </c>
      <c r="I419" s="2" t="n">
        <v>8774.66</v>
      </c>
      <c r="J419" s="2" t="inlineStr">
        <is>
          <t>Online Banking</t>
        </is>
      </c>
      <c r="K419" s="2" t="inlineStr">
        <is>
          <t>Y</t>
        </is>
      </c>
    </row>
    <row r="420">
      <c r="A420" s="2" t="inlineStr">
        <is>
          <t>TXN100420</t>
        </is>
      </c>
      <c r="B420" s="2" t="inlineStr">
        <is>
          <t xml:space="preserve">  CUST0420 </t>
        </is>
      </c>
      <c r="C420" s="2" t="inlineStr">
        <is>
          <t>2026-06-01 04:02:00</t>
        </is>
      </c>
      <c r="D420" s="3" t="inlineStr"/>
      <c r="E420" s="2" t="n">
        <v>25</v>
      </c>
      <c r="F420" s="2" t="inlineStr">
        <is>
          <t>Investment</t>
        </is>
      </c>
      <c r="G420" s="2" t="inlineStr">
        <is>
          <t>Utilities</t>
        </is>
      </c>
      <c r="H420" s="2" t="inlineStr">
        <is>
          <t>$1623.34</t>
        </is>
      </c>
      <c r="I420" s="2" t="n">
        <v>41216.92</v>
      </c>
      <c r="J420" s="2" t="inlineStr">
        <is>
          <t>Online Banking</t>
        </is>
      </c>
      <c r="K420" s="2" t="inlineStr">
        <is>
          <t>N</t>
        </is>
      </c>
    </row>
    <row r="421">
      <c r="A421" s="2" t="inlineStr">
        <is>
          <t>TXN100421</t>
        </is>
      </c>
      <c r="B421" s="2" t="inlineStr">
        <is>
          <t xml:space="preserve">  CUST0421 </t>
        </is>
      </c>
      <c r="C421" s="2" t="inlineStr">
        <is>
          <t>2026-06-01 19:16:00</t>
        </is>
      </c>
      <c r="D421" s="2" t="inlineStr">
        <is>
          <t>Female</t>
        </is>
      </c>
      <c r="E421" s="2" t="n">
        <v>66</v>
      </c>
      <c r="F421" s="2" t="inlineStr">
        <is>
          <t>Savings</t>
        </is>
      </c>
      <c r="G421" s="2" t="inlineStr">
        <is>
          <t>groceries</t>
        </is>
      </c>
      <c r="H421" s="2" t="inlineStr">
        <is>
          <t>$3110.91</t>
        </is>
      </c>
      <c r="I421" s="2" t="n">
        <v>20169.07</v>
      </c>
      <c r="J421" s="2" t="inlineStr">
        <is>
          <t>Branch Office</t>
        </is>
      </c>
      <c r="K421" s="2" t="inlineStr">
        <is>
          <t>N</t>
        </is>
      </c>
    </row>
    <row r="422">
      <c r="A422" s="2" t="inlineStr">
        <is>
          <t>TXN100422</t>
        </is>
      </c>
      <c r="B422" s="2" t="inlineStr">
        <is>
          <t xml:space="preserve">  CUST0422 </t>
        </is>
      </c>
      <c r="C422" s="2" t="inlineStr">
        <is>
          <t>2026-06-01 08:33:00</t>
        </is>
      </c>
      <c r="D422" s="2" t="n"/>
      <c r="E422" s="2" t="n">
        <v>75</v>
      </c>
      <c r="F422" s="2" t="inlineStr">
        <is>
          <t>Savings</t>
        </is>
      </c>
      <c r="G422" s="2" t="inlineStr">
        <is>
          <t>Travel</t>
        </is>
      </c>
      <c r="H422" s="2" t="inlineStr">
        <is>
          <t>$4704.73</t>
        </is>
      </c>
      <c r="I422" s="2" t="n">
        <v>39193.44</v>
      </c>
      <c r="J422" s="2" t="inlineStr">
        <is>
          <t xml:space="preserve">Mobile App </t>
        </is>
      </c>
      <c r="K422" s="2" t="inlineStr">
        <is>
          <t>N</t>
        </is>
      </c>
    </row>
    <row r="423">
      <c r="A423" s="2" t="inlineStr">
        <is>
          <t>TXN100423</t>
        </is>
      </c>
      <c r="B423" s="2" t="inlineStr">
        <is>
          <t xml:space="preserve">  CUST0423 </t>
        </is>
      </c>
      <c r="C423" s="2" t="inlineStr">
        <is>
          <t>2026-06-01 13:09:00</t>
        </is>
      </c>
      <c r="D423" s="2" t="inlineStr">
        <is>
          <t>Male</t>
        </is>
      </c>
      <c r="E423" s="2" t="n">
        <v>56</v>
      </c>
      <c r="F423" s="2" t="inlineStr">
        <is>
          <t>Investment</t>
        </is>
      </c>
      <c r="G423" s="2" t="inlineStr">
        <is>
          <t>Travel</t>
        </is>
      </c>
      <c r="H423" s="2" t="inlineStr">
        <is>
          <t>$6069.44</t>
        </is>
      </c>
      <c r="I423" s="2" t="n">
        <v>47012.67</v>
      </c>
      <c r="J423" s="2" t="inlineStr">
        <is>
          <t xml:space="preserve">Mobile App </t>
        </is>
      </c>
      <c r="K423" s="2" t="inlineStr">
        <is>
          <t>N</t>
        </is>
      </c>
    </row>
    <row r="424">
      <c r="A424" s="2" t="inlineStr">
        <is>
          <t>TXN100424</t>
        </is>
      </c>
      <c r="B424" s="2" t="inlineStr">
        <is>
          <t xml:space="preserve">  CUST0424 </t>
        </is>
      </c>
      <c r="C424" s="2" t="inlineStr">
        <is>
          <t>2026-06-01 18:49:00</t>
        </is>
      </c>
      <c r="D424" s="2" t="inlineStr">
        <is>
          <t>MALE</t>
        </is>
      </c>
      <c r="E424" s="2" t="n">
        <v>70</v>
      </c>
      <c r="F424" s="2" t="inlineStr">
        <is>
          <t>Checking</t>
        </is>
      </c>
      <c r="G424" s="2" t="inlineStr">
        <is>
          <t>Travel</t>
        </is>
      </c>
      <c r="H424" s="2" t="inlineStr">
        <is>
          <t>$7042.28</t>
        </is>
      </c>
      <c r="I424" s="2" t="n">
        <v>43955.73</v>
      </c>
      <c r="J424" s="2" t="inlineStr">
        <is>
          <t>Branch Office</t>
        </is>
      </c>
      <c r="K424" s="2" t="inlineStr">
        <is>
          <t>N</t>
        </is>
      </c>
    </row>
    <row r="425">
      <c r="A425" s="2" t="inlineStr">
        <is>
          <t>TXN100425</t>
        </is>
      </c>
      <c r="B425" s="2" t="inlineStr">
        <is>
          <t xml:space="preserve">  CUST0425 </t>
        </is>
      </c>
      <c r="C425" s="2" t="inlineStr">
        <is>
          <t>2026-06-01 15:36:00</t>
        </is>
      </c>
      <c r="D425" s="2" t="n"/>
      <c r="E425" s="2" t="n">
        <v>22</v>
      </c>
      <c r="F425" s="2" t="inlineStr">
        <is>
          <t>Savings</t>
        </is>
      </c>
      <c r="G425" s="2" t="inlineStr">
        <is>
          <t>Entertainment</t>
        </is>
      </c>
      <c r="H425" s="2" t="inlineStr">
        <is>
          <t>$3229.76</t>
        </is>
      </c>
      <c r="I425" s="2" t="n">
        <v>31103.1</v>
      </c>
      <c r="J425" s="2" t="inlineStr">
        <is>
          <t>ATM</t>
        </is>
      </c>
      <c r="K425" s="2" t="inlineStr">
        <is>
          <t>N</t>
        </is>
      </c>
    </row>
    <row r="426">
      <c r="A426" s="2" t="inlineStr">
        <is>
          <t>TXN100426</t>
        </is>
      </c>
      <c r="B426" s="2" t="inlineStr">
        <is>
          <t xml:space="preserve">  CUST0426 </t>
        </is>
      </c>
      <c r="C426" s="2" t="inlineStr">
        <is>
          <t>2026-06-01 01:25:00</t>
        </is>
      </c>
      <c r="D426" s="2" t="inlineStr">
        <is>
          <t>Female</t>
        </is>
      </c>
      <c r="E426" s="2" t="n">
        <v>64</v>
      </c>
      <c r="F426" s="2" t="inlineStr">
        <is>
          <t>Savings</t>
        </is>
      </c>
      <c r="G426" s="2" t="inlineStr">
        <is>
          <t>groceries</t>
        </is>
      </c>
      <c r="H426" s="2" t="inlineStr">
        <is>
          <t>$5968.54</t>
        </is>
      </c>
      <c r="I426" s="2" t="n">
        <v>46081.33</v>
      </c>
      <c r="J426" s="2" t="inlineStr">
        <is>
          <t>Branch Office</t>
        </is>
      </c>
      <c r="K426" s="2" t="inlineStr">
        <is>
          <t>N</t>
        </is>
      </c>
    </row>
    <row r="427">
      <c r="A427" s="2" t="inlineStr">
        <is>
          <t>TXN100427</t>
        </is>
      </c>
      <c r="B427" s="2" t="inlineStr">
        <is>
          <t xml:space="preserve">  CUST0427 </t>
        </is>
      </c>
      <c r="C427" s="2" t="inlineStr">
        <is>
          <t>2026-06-01 00:21:00</t>
        </is>
      </c>
      <c r="D427" s="2" t="inlineStr">
        <is>
          <t>female</t>
        </is>
      </c>
      <c r="E427" s="2" t="n">
        <v>39</v>
      </c>
      <c r="F427" s="2" t="inlineStr">
        <is>
          <t>Checking</t>
        </is>
      </c>
      <c r="G427" s="2" t="inlineStr">
        <is>
          <t>Utilities</t>
        </is>
      </c>
      <c r="H427" s="2" t="inlineStr">
        <is>
          <t>$6867.3</t>
        </is>
      </c>
      <c r="I427" s="2" t="n">
        <v>34400.18</v>
      </c>
      <c r="J427" s="2" t="inlineStr">
        <is>
          <t>Online Banking</t>
        </is>
      </c>
      <c r="K427" s="2" t="inlineStr">
        <is>
          <t>N</t>
        </is>
      </c>
    </row>
    <row r="428">
      <c r="A428" s="2" t="inlineStr">
        <is>
          <t>TXN100428</t>
        </is>
      </c>
      <c r="B428" s="2" t="inlineStr">
        <is>
          <t xml:space="preserve">  CUST0428 </t>
        </is>
      </c>
      <c r="C428" s="2" t="inlineStr">
        <is>
          <t>2026-06-01 04:19:00</t>
        </is>
      </c>
      <c r="D428" s="2" t="n"/>
      <c r="E428" s="2" t="n">
        <v>69</v>
      </c>
      <c r="F428" s="2" t="inlineStr">
        <is>
          <t>Checking</t>
        </is>
      </c>
      <c r="G428" s="2" t="inlineStr">
        <is>
          <t>Entertainment</t>
        </is>
      </c>
      <c r="H428" s="2" t="inlineStr">
        <is>
          <t>$5833.11</t>
        </is>
      </c>
      <c r="I428" s="2" t="n">
        <v>30446.47</v>
      </c>
      <c r="J428" s="2" t="inlineStr">
        <is>
          <t xml:space="preserve">Mobile App </t>
        </is>
      </c>
      <c r="K428" s="2" t="inlineStr">
        <is>
          <t>N</t>
        </is>
      </c>
    </row>
    <row r="429">
      <c r="A429" s="2" t="inlineStr">
        <is>
          <t>TXN100429</t>
        </is>
      </c>
      <c r="B429" s="2" t="inlineStr">
        <is>
          <t xml:space="preserve">  CUST0429 </t>
        </is>
      </c>
      <c r="C429" s="2" t="inlineStr">
        <is>
          <t>2026-06-01 06:28:00</t>
        </is>
      </c>
      <c r="D429" s="2" t="inlineStr">
        <is>
          <t>F</t>
        </is>
      </c>
      <c r="E429" s="2" t="n">
        <v>72</v>
      </c>
      <c r="F429" s="2" t="inlineStr">
        <is>
          <t>Checking</t>
        </is>
      </c>
      <c r="G429" s="2" t="inlineStr">
        <is>
          <t>Utilities</t>
        </is>
      </c>
      <c r="H429" s="2" t="inlineStr">
        <is>
          <t>$6078.35</t>
        </is>
      </c>
      <c r="I429" s="2" t="n">
        <v>43425.85</v>
      </c>
      <c r="J429" s="2" t="inlineStr">
        <is>
          <t xml:space="preserve">Mobile App </t>
        </is>
      </c>
      <c r="K429" s="2" t="inlineStr">
        <is>
          <t>N</t>
        </is>
      </c>
    </row>
    <row r="430">
      <c r="A430" s="2" t="inlineStr">
        <is>
          <t>TXN100430</t>
        </is>
      </c>
      <c r="B430" s="2" t="inlineStr">
        <is>
          <t xml:space="preserve">  CUST0430 </t>
        </is>
      </c>
      <c r="C430" s="2" t="inlineStr">
        <is>
          <t>2026-06-01 16:50:00</t>
        </is>
      </c>
      <c r="D430" s="2" t="inlineStr">
        <is>
          <t>Male</t>
        </is>
      </c>
      <c r="E430" s="2" t="n">
        <v>24</v>
      </c>
      <c r="F430" s="2" t="inlineStr">
        <is>
          <t>Checking</t>
        </is>
      </c>
      <c r="G430" s="2" t="inlineStr">
        <is>
          <t>Travel</t>
        </is>
      </c>
      <c r="H430" s="2" t="inlineStr">
        <is>
          <t>$3233.05</t>
        </is>
      </c>
      <c r="I430" s="2" t="n">
        <v>39135.56</v>
      </c>
      <c r="J430" s="2" t="inlineStr">
        <is>
          <t xml:space="preserve">Mobile App </t>
        </is>
      </c>
      <c r="K430" s="2" t="inlineStr">
        <is>
          <t>N</t>
        </is>
      </c>
    </row>
    <row r="431">
      <c r="A431" s="2" t="inlineStr">
        <is>
          <t>TXN100431</t>
        </is>
      </c>
      <c r="B431" s="2" t="inlineStr">
        <is>
          <t xml:space="preserve">  CUST0431 </t>
        </is>
      </c>
      <c r="C431" s="2" t="inlineStr">
        <is>
          <t>2026-06-01 05:12:00</t>
        </is>
      </c>
      <c r="D431" s="2" t="inlineStr">
        <is>
          <t>F</t>
        </is>
      </c>
      <c r="E431" s="2" t="n">
        <v>73</v>
      </c>
      <c r="F431" s="2" t="inlineStr">
        <is>
          <t>Savings</t>
        </is>
      </c>
      <c r="G431" s="2" t="inlineStr">
        <is>
          <t>GROCERIES</t>
        </is>
      </c>
      <c r="H431" s="2" t="inlineStr">
        <is>
          <t>$274.24</t>
        </is>
      </c>
      <c r="I431" s="2" t="n">
        <v>3002.68</v>
      </c>
      <c r="J431" s="2" t="inlineStr">
        <is>
          <t>Branch Office</t>
        </is>
      </c>
      <c r="K431" s="2" t="inlineStr">
        <is>
          <t>N</t>
        </is>
      </c>
    </row>
    <row r="432">
      <c r="A432" s="2" t="inlineStr">
        <is>
          <t>TXN100432</t>
        </is>
      </c>
      <c r="B432" s="2" t="inlineStr">
        <is>
          <t xml:space="preserve">  CUST0432 </t>
        </is>
      </c>
      <c r="C432" s="2" t="inlineStr">
        <is>
          <t>2026-06-01 22:12:00</t>
        </is>
      </c>
      <c r="D432" s="2" t="inlineStr">
        <is>
          <t>female</t>
        </is>
      </c>
      <c r="E432" s="2" t="n">
        <v>43</v>
      </c>
      <c r="F432" s="2" t="inlineStr">
        <is>
          <t>Checking</t>
        </is>
      </c>
      <c r="G432" s="2" t="inlineStr">
        <is>
          <t>Travel</t>
        </is>
      </c>
      <c r="H432" s="2" t="inlineStr">
        <is>
          <t>$3181.57</t>
        </is>
      </c>
      <c r="I432" s="2" t="n">
        <v>46192.14</v>
      </c>
      <c r="J432" s="2" t="inlineStr">
        <is>
          <t xml:space="preserve">Mobile App </t>
        </is>
      </c>
      <c r="K432" s="2" t="inlineStr">
        <is>
          <t>N</t>
        </is>
      </c>
    </row>
    <row r="433">
      <c r="A433" s="2" t="inlineStr">
        <is>
          <t>TXN100433</t>
        </is>
      </c>
      <c r="B433" s="2" t="inlineStr">
        <is>
          <t xml:space="preserve">  CUST0433 </t>
        </is>
      </c>
      <c r="C433" s="2" t="inlineStr">
        <is>
          <t>2026-06-01 07:23:00</t>
        </is>
      </c>
      <c r="D433" s="2" t="n"/>
      <c r="E433" s="2" t="n">
        <v>58</v>
      </c>
      <c r="F433" s="2" t="inlineStr">
        <is>
          <t>Checking</t>
        </is>
      </c>
      <c r="G433" s="2" t="inlineStr">
        <is>
          <t>GROCERIES</t>
        </is>
      </c>
      <c r="H433" s="2" t="inlineStr">
        <is>
          <t>$7684.56</t>
        </is>
      </c>
      <c r="I433" s="2" t="n">
        <v>23991.82</v>
      </c>
      <c r="J433" s="2" t="inlineStr">
        <is>
          <t>Branch Office</t>
        </is>
      </c>
      <c r="K433" s="2" t="inlineStr">
        <is>
          <t>N</t>
        </is>
      </c>
    </row>
    <row r="434">
      <c r="A434" s="2" t="inlineStr">
        <is>
          <t>TXN100434</t>
        </is>
      </c>
      <c r="B434" s="2" t="inlineStr">
        <is>
          <t xml:space="preserve">  CUST0434 </t>
        </is>
      </c>
      <c r="C434" s="2" t="inlineStr">
        <is>
          <t>2026-06-01 08:47:00</t>
        </is>
      </c>
      <c r="D434" s="2" t="inlineStr">
        <is>
          <t>MALE</t>
        </is>
      </c>
      <c r="E434" s="2" t="n">
        <v>38</v>
      </c>
      <c r="F434" s="2" t="inlineStr">
        <is>
          <t>Savings</t>
        </is>
      </c>
      <c r="G434" s="2" t="inlineStr">
        <is>
          <t>Utilities</t>
        </is>
      </c>
      <c r="H434" s="2" t="inlineStr">
        <is>
          <t>$406.71</t>
        </is>
      </c>
      <c r="I434" s="2" t="n">
        <v>42764.16</v>
      </c>
      <c r="J434" s="2" t="inlineStr">
        <is>
          <t>Online Banking</t>
        </is>
      </c>
      <c r="K434" s="2" t="inlineStr">
        <is>
          <t>N</t>
        </is>
      </c>
    </row>
    <row r="435">
      <c r="A435" s="2" t="inlineStr">
        <is>
          <t>TXN100435</t>
        </is>
      </c>
      <c r="B435" s="2" t="inlineStr">
        <is>
          <t xml:space="preserve">  CUST0435 </t>
        </is>
      </c>
      <c r="C435" s="2" t="inlineStr">
        <is>
          <t>2026-06-01 07:41:00</t>
        </is>
      </c>
      <c r="D435" s="2" t="inlineStr">
        <is>
          <t>F</t>
        </is>
      </c>
      <c r="E435" s="2" t="n">
        <v>63</v>
      </c>
      <c r="F435" s="2" t="inlineStr">
        <is>
          <t>Savings</t>
        </is>
      </c>
      <c r="G435" s="2" t="inlineStr">
        <is>
          <t>Entertainment</t>
        </is>
      </c>
      <c r="H435" s="2" t="inlineStr">
        <is>
          <t>$5216.18</t>
        </is>
      </c>
      <c r="I435" s="2" t="n">
        <v>25907.42</v>
      </c>
      <c r="J435" s="2" t="inlineStr">
        <is>
          <t xml:space="preserve">Mobile App </t>
        </is>
      </c>
      <c r="K435" s="2" t="inlineStr">
        <is>
          <t>N</t>
        </is>
      </c>
    </row>
    <row r="436">
      <c r="A436" s="2" t="inlineStr">
        <is>
          <t>TXN100436</t>
        </is>
      </c>
      <c r="B436" s="2" t="inlineStr">
        <is>
          <t xml:space="preserve">  CUST0436 </t>
        </is>
      </c>
      <c r="C436" s="2" t="inlineStr">
        <is>
          <t>2026-06-01 15:58:00</t>
        </is>
      </c>
      <c r="D436" s="2" t="inlineStr">
        <is>
          <t>Male</t>
        </is>
      </c>
      <c r="E436" s="2" t="n">
        <v>61</v>
      </c>
      <c r="F436" s="2" t="inlineStr">
        <is>
          <t>Savings</t>
        </is>
      </c>
      <c r="G436" s="2" t="inlineStr">
        <is>
          <t>Travel</t>
        </is>
      </c>
      <c r="H436" s="2" t="inlineStr">
        <is>
          <t>$6408.91</t>
        </is>
      </c>
      <c r="I436" s="2" t="n">
        <v>11576.62</v>
      </c>
      <c r="J436" s="2" t="inlineStr">
        <is>
          <t>Branch Office</t>
        </is>
      </c>
      <c r="K436" s="2" t="inlineStr">
        <is>
          <t>N</t>
        </is>
      </c>
    </row>
    <row r="437">
      <c r="A437" s="2" t="inlineStr">
        <is>
          <t>TXN100437</t>
        </is>
      </c>
      <c r="B437" s="2" t="inlineStr">
        <is>
          <t xml:space="preserve">  CUST0437 </t>
        </is>
      </c>
      <c r="C437" s="2" t="inlineStr">
        <is>
          <t>2026-06-01 22:45:00</t>
        </is>
      </c>
      <c r="D437" s="2" t="inlineStr">
        <is>
          <t>female</t>
        </is>
      </c>
      <c r="E437" s="2" t="n">
        <v>47</v>
      </c>
      <c r="F437" s="2" t="inlineStr">
        <is>
          <t>Checking</t>
        </is>
      </c>
      <c r="G437" s="2" t="inlineStr">
        <is>
          <t>Entertainment</t>
        </is>
      </c>
      <c r="H437" s="2" t="inlineStr">
        <is>
          <t>$3677.39</t>
        </is>
      </c>
      <c r="I437" s="2" t="n">
        <v>11301.35</v>
      </c>
      <c r="J437" s="2" t="inlineStr">
        <is>
          <t>Branch Office</t>
        </is>
      </c>
      <c r="K437" s="2" t="inlineStr">
        <is>
          <t>N</t>
        </is>
      </c>
    </row>
    <row r="438">
      <c r="A438" s="2" t="inlineStr">
        <is>
          <t>TXN100438</t>
        </is>
      </c>
      <c r="B438" s="2" t="inlineStr">
        <is>
          <t xml:space="preserve">  CUST0438 </t>
        </is>
      </c>
      <c r="C438" s="2" t="inlineStr">
        <is>
          <t>2026-06-01 21:33:00</t>
        </is>
      </c>
      <c r="D438" s="3" t="inlineStr"/>
      <c r="E438" s="2" t="n">
        <v>57</v>
      </c>
      <c r="F438" s="2" t="inlineStr">
        <is>
          <t>Savings</t>
        </is>
      </c>
      <c r="G438" s="2" t="inlineStr">
        <is>
          <t>groceries</t>
        </is>
      </c>
      <c r="H438" s="2" t="inlineStr">
        <is>
          <t>$4096.99</t>
        </is>
      </c>
      <c r="I438" s="2" t="n">
        <v>33286.59</v>
      </c>
      <c r="J438" s="2" t="inlineStr">
        <is>
          <t>Branch Office</t>
        </is>
      </c>
      <c r="K438" s="2" t="inlineStr">
        <is>
          <t>N</t>
        </is>
      </c>
    </row>
    <row r="439">
      <c r="A439" s="2" t="inlineStr">
        <is>
          <t>TXN100439</t>
        </is>
      </c>
      <c r="B439" s="2" t="inlineStr">
        <is>
          <t xml:space="preserve">  CUST0439 </t>
        </is>
      </c>
      <c r="C439" s="2" t="inlineStr">
        <is>
          <t>2026-06-01 17:41:00</t>
        </is>
      </c>
      <c r="D439" s="2" t="inlineStr">
        <is>
          <t>female</t>
        </is>
      </c>
      <c r="E439" s="2" t="n">
        <v>39</v>
      </c>
      <c r="F439" s="2" t="inlineStr">
        <is>
          <t>Investment</t>
        </is>
      </c>
      <c r="G439" s="2" t="inlineStr">
        <is>
          <t>groceries</t>
        </is>
      </c>
      <c r="H439" s="2" t="inlineStr">
        <is>
          <t>$3859.09</t>
        </is>
      </c>
      <c r="I439" s="2" t="n">
        <v>17146.04</v>
      </c>
      <c r="J439" s="2" t="inlineStr">
        <is>
          <t>Branch Office</t>
        </is>
      </c>
      <c r="K439" s="2" t="inlineStr">
        <is>
          <t>N</t>
        </is>
      </c>
    </row>
    <row r="440">
      <c r="A440" s="2" t="inlineStr">
        <is>
          <t>TXN100440</t>
        </is>
      </c>
      <c r="B440" s="2" t="inlineStr">
        <is>
          <t xml:space="preserve">  CUST0440 </t>
        </is>
      </c>
      <c r="C440" s="2" t="inlineStr">
        <is>
          <t>2026-06-01 20:20:00</t>
        </is>
      </c>
      <c r="D440" s="2" t="inlineStr">
        <is>
          <t>female</t>
        </is>
      </c>
      <c r="E440" s="2" t="n">
        <v>36</v>
      </c>
      <c r="F440" s="2" t="inlineStr">
        <is>
          <t>Investment</t>
        </is>
      </c>
      <c r="G440" s="2" t="inlineStr">
        <is>
          <t>Entertainment</t>
        </is>
      </c>
      <c r="H440" s="2" t="inlineStr">
        <is>
          <t>$1515.0</t>
        </is>
      </c>
      <c r="I440" s="2" t="n">
        <v>26106.03</v>
      </c>
      <c r="J440" s="2" t="inlineStr">
        <is>
          <t>Online Banking</t>
        </is>
      </c>
      <c r="K440" s="2" t="inlineStr">
        <is>
          <t>N</t>
        </is>
      </c>
    </row>
    <row r="441">
      <c r="A441" s="2" t="inlineStr">
        <is>
          <t>TXN100441</t>
        </is>
      </c>
      <c r="B441" s="2" t="inlineStr">
        <is>
          <t xml:space="preserve">  CUST0441 </t>
        </is>
      </c>
      <c r="C441" s="2" t="inlineStr">
        <is>
          <t>2026-06-01 01:51:00</t>
        </is>
      </c>
      <c r="D441" s="3" t="inlineStr"/>
      <c r="E441" s="2" t="n">
        <v>62</v>
      </c>
      <c r="F441" s="2" t="inlineStr">
        <is>
          <t>Checking</t>
        </is>
      </c>
      <c r="G441" s="2" t="inlineStr">
        <is>
          <t>GROCERIES</t>
        </is>
      </c>
      <c r="H441" s="2" t="inlineStr">
        <is>
          <t>$5773.05</t>
        </is>
      </c>
      <c r="I441" s="2" t="n">
        <v>32942.33</v>
      </c>
      <c r="J441" s="2" t="inlineStr">
        <is>
          <t>Branch Office</t>
        </is>
      </c>
      <c r="K441" s="2" t="inlineStr">
        <is>
          <t>N</t>
        </is>
      </c>
    </row>
    <row r="442">
      <c r="A442" s="2" t="inlineStr">
        <is>
          <t>TXN100442</t>
        </is>
      </c>
      <c r="B442" s="2" t="inlineStr">
        <is>
          <t xml:space="preserve">  CUST0442 </t>
        </is>
      </c>
      <c r="C442" s="2" t="inlineStr">
        <is>
          <t>2026-06-01 08:58:00</t>
        </is>
      </c>
      <c r="D442" s="3" t="inlineStr"/>
      <c r="E442" s="2" t="n">
        <v>45</v>
      </c>
      <c r="F442" s="2" t="inlineStr">
        <is>
          <t>Checking</t>
        </is>
      </c>
      <c r="G442" s="2" t="inlineStr">
        <is>
          <t>groceries</t>
        </is>
      </c>
      <c r="H442" s="2" t="inlineStr">
        <is>
          <t>$4668.36</t>
        </is>
      </c>
      <c r="I442" s="2" t="n">
        <v>49740.31</v>
      </c>
      <c r="J442" s="2" t="inlineStr">
        <is>
          <t>Online Banking</t>
        </is>
      </c>
      <c r="K442" s="2" t="inlineStr">
        <is>
          <t>N</t>
        </is>
      </c>
    </row>
    <row r="443">
      <c r="A443" s="2" t="inlineStr">
        <is>
          <t>TXN100443</t>
        </is>
      </c>
      <c r="B443" s="2" t="inlineStr">
        <is>
          <t xml:space="preserve">  CUST0443 </t>
        </is>
      </c>
      <c r="C443" s="2" t="inlineStr">
        <is>
          <t>2026-06-01 10:46:00</t>
        </is>
      </c>
      <c r="D443" s="2" t="inlineStr">
        <is>
          <t>F</t>
        </is>
      </c>
      <c r="E443" s="2" t="n">
        <v>63</v>
      </c>
      <c r="F443" s="2" t="inlineStr">
        <is>
          <t>Investment</t>
        </is>
      </c>
      <c r="G443" s="2" t="inlineStr">
        <is>
          <t>Utilities</t>
        </is>
      </c>
      <c r="H443" s="2" t="inlineStr">
        <is>
          <t>$7253.15</t>
        </is>
      </c>
      <c r="I443" s="2" t="n">
        <v>33757.49</v>
      </c>
      <c r="J443" s="2" t="inlineStr">
        <is>
          <t>Branch Office</t>
        </is>
      </c>
      <c r="K443" s="2" t="inlineStr">
        <is>
          <t>Y</t>
        </is>
      </c>
    </row>
    <row r="444">
      <c r="A444" s="2" t="inlineStr">
        <is>
          <t>TXN100444</t>
        </is>
      </c>
      <c r="B444" s="2" t="inlineStr">
        <is>
          <t xml:space="preserve">  CUST0444 </t>
        </is>
      </c>
      <c r="C444" s="2" t="inlineStr">
        <is>
          <t>2026-06-01 21:56:00</t>
        </is>
      </c>
      <c r="D444" s="2" t="inlineStr">
        <is>
          <t>Male</t>
        </is>
      </c>
      <c r="E444" s="2" t="n">
        <v>38</v>
      </c>
      <c r="F444" s="2" t="inlineStr">
        <is>
          <t>Savings</t>
        </is>
      </c>
      <c r="G444" s="2" t="inlineStr">
        <is>
          <t>Utilities</t>
        </is>
      </c>
      <c r="H444" s="2" t="inlineStr">
        <is>
          <t>$1032.27</t>
        </is>
      </c>
      <c r="I444" s="2" t="n">
        <v>13303.27</v>
      </c>
      <c r="J444" s="2" t="inlineStr">
        <is>
          <t>Online Banking</t>
        </is>
      </c>
      <c r="K444" s="2" t="inlineStr">
        <is>
          <t>N</t>
        </is>
      </c>
    </row>
    <row r="445">
      <c r="A445" s="2" t="inlineStr">
        <is>
          <t>TXN100445</t>
        </is>
      </c>
      <c r="B445" s="2" t="inlineStr">
        <is>
          <t xml:space="preserve">  CUST0445 </t>
        </is>
      </c>
      <c r="C445" s="2" t="inlineStr">
        <is>
          <t>2026-06-01 21:57:00</t>
        </is>
      </c>
      <c r="D445" s="2" t="inlineStr">
        <is>
          <t>Female</t>
        </is>
      </c>
      <c r="E445" s="2" t="n">
        <v>61</v>
      </c>
      <c r="F445" s="2" t="inlineStr">
        <is>
          <t>Savings</t>
        </is>
      </c>
      <c r="G445" s="2" t="inlineStr">
        <is>
          <t>GROCERIES</t>
        </is>
      </c>
      <c r="H445" s="2" t="inlineStr">
        <is>
          <t>$2848.71</t>
        </is>
      </c>
      <c r="I445" s="2" t="n">
        <v>37338.39</v>
      </c>
      <c r="J445" s="2" t="inlineStr">
        <is>
          <t>Branch Office</t>
        </is>
      </c>
      <c r="K445" s="2" t="inlineStr">
        <is>
          <t>N</t>
        </is>
      </c>
    </row>
    <row r="446">
      <c r="A446" s="2" t="inlineStr">
        <is>
          <t>TXN100446</t>
        </is>
      </c>
      <c r="B446" s="2" t="inlineStr">
        <is>
          <t xml:space="preserve">  CUST0446 </t>
        </is>
      </c>
      <c r="C446" s="2" t="inlineStr">
        <is>
          <t>2026-06-01 13:50:00</t>
        </is>
      </c>
      <c r="D446" s="2" t="inlineStr">
        <is>
          <t>Female</t>
        </is>
      </c>
      <c r="E446" s="2" t="n">
        <v>43</v>
      </c>
      <c r="F446" s="2" t="inlineStr">
        <is>
          <t>Checking</t>
        </is>
      </c>
      <c r="G446" s="2" t="inlineStr">
        <is>
          <t>Travel</t>
        </is>
      </c>
      <c r="H446" s="2" t="inlineStr">
        <is>
          <t>$2359.47</t>
        </is>
      </c>
      <c r="I446" s="2" t="n">
        <v>42635.09</v>
      </c>
      <c r="J446" s="2" t="inlineStr">
        <is>
          <t>ATM</t>
        </is>
      </c>
      <c r="K446" s="2" t="inlineStr">
        <is>
          <t>N</t>
        </is>
      </c>
    </row>
    <row r="447">
      <c r="A447" s="2" t="inlineStr">
        <is>
          <t>TXN100447</t>
        </is>
      </c>
      <c r="B447" s="2" t="inlineStr">
        <is>
          <t xml:space="preserve">  CUST0447 </t>
        </is>
      </c>
      <c r="C447" s="2" t="inlineStr">
        <is>
          <t>2026-06-01 01:55:00</t>
        </is>
      </c>
      <c r="D447" s="2" t="inlineStr">
        <is>
          <t>MALE</t>
        </is>
      </c>
      <c r="E447" s="2" t="n">
        <v>50</v>
      </c>
      <c r="F447" s="2" t="inlineStr">
        <is>
          <t>Savings</t>
        </is>
      </c>
      <c r="G447" s="2" t="inlineStr">
        <is>
          <t>Travel</t>
        </is>
      </c>
      <c r="H447" s="2" t="inlineStr">
        <is>
          <t>$967.33</t>
        </is>
      </c>
      <c r="I447" s="2" t="n">
        <v>34194.54</v>
      </c>
      <c r="J447" s="2" t="inlineStr">
        <is>
          <t>Branch Office</t>
        </is>
      </c>
      <c r="K447" s="2" t="inlineStr">
        <is>
          <t>N</t>
        </is>
      </c>
    </row>
    <row r="448">
      <c r="A448" s="2" t="inlineStr">
        <is>
          <t>TXN100448</t>
        </is>
      </c>
      <c r="B448" s="2" t="inlineStr">
        <is>
          <t xml:space="preserve">  CUST0448 </t>
        </is>
      </c>
      <c r="C448" s="2" t="inlineStr">
        <is>
          <t>2026-06-01 13:03:00</t>
        </is>
      </c>
      <c r="D448" s="2" t="inlineStr">
        <is>
          <t>Male</t>
        </is>
      </c>
      <c r="E448" s="2" t="n">
        <v>28</v>
      </c>
      <c r="F448" s="2" t="inlineStr">
        <is>
          <t>Savings</t>
        </is>
      </c>
      <c r="G448" s="2" t="inlineStr">
        <is>
          <t>Entertainment</t>
        </is>
      </c>
      <c r="H448" s="2" t="inlineStr">
        <is>
          <t>$3279.44</t>
        </is>
      </c>
      <c r="I448" s="2" t="n">
        <v>28685.48</v>
      </c>
      <c r="J448" s="2" t="inlineStr">
        <is>
          <t>ATM</t>
        </is>
      </c>
      <c r="K448" s="2" t="inlineStr">
        <is>
          <t>N</t>
        </is>
      </c>
    </row>
    <row r="449">
      <c r="A449" s="2" t="inlineStr">
        <is>
          <t>TXN100449</t>
        </is>
      </c>
      <c r="B449" s="2" t="inlineStr">
        <is>
          <t xml:space="preserve">  CUST0449 </t>
        </is>
      </c>
      <c r="C449" s="2" t="inlineStr">
        <is>
          <t>2026-06-01 04:20:00</t>
        </is>
      </c>
      <c r="D449" s="2" t="inlineStr">
        <is>
          <t>Male</t>
        </is>
      </c>
      <c r="E449" s="2" t="n">
        <v>69</v>
      </c>
      <c r="F449" s="2" t="inlineStr">
        <is>
          <t>Savings</t>
        </is>
      </c>
      <c r="G449" s="2" t="inlineStr">
        <is>
          <t>Utilities</t>
        </is>
      </c>
      <c r="H449" s="2" t="inlineStr">
        <is>
          <t>$2667.71</t>
        </is>
      </c>
      <c r="I449" s="2" t="n">
        <v>49338.7</v>
      </c>
      <c r="J449" s="2" t="inlineStr">
        <is>
          <t>Branch Office</t>
        </is>
      </c>
      <c r="K449" s="2" t="inlineStr">
        <is>
          <t>N</t>
        </is>
      </c>
    </row>
    <row r="450">
      <c r="A450" s="2" t="inlineStr">
        <is>
          <t>TXN100450</t>
        </is>
      </c>
      <c r="B450" s="2" t="inlineStr">
        <is>
          <t xml:space="preserve">  CUST0450 </t>
        </is>
      </c>
      <c r="C450" s="2" t="inlineStr">
        <is>
          <t>2026-06-01 20:03:00</t>
        </is>
      </c>
      <c r="D450" s="2" t="inlineStr">
        <is>
          <t>M</t>
        </is>
      </c>
      <c r="E450" s="2" t="n">
        <v>48</v>
      </c>
      <c r="F450" s="2" t="inlineStr">
        <is>
          <t>Checking</t>
        </is>
      </c>
      <c r="G450" s="2" t="inlineStr">
        <is>
          <t>GROCERIES</t>
        </is>
      </c>
      <c r="H450" s="2" t="inlineStr">
        <is>
          <t>$6091.93</t>
        </is>
      </c>
      <c r="I450" s="2" t="n">
        <v>8845.98</v>
      </c>
      <c r="J450" s="2" t="inlineStr">
        <is>
          <t>Online Banking</t>
        </is>
      </c>
      <c r="K450" s="2" t="inlineStr">
        <is>
          <t>N</t>
        </is>
      </c>
    </row>
    <row r="451">
      <c r="A451" s="2" t="inlineStr">
        <is>
          <t>TXN100451</t>
        </is>
      </c>
      <c r="B451" s="2" t="inlineStr">
        <is>
          <t xml:space="preserve">  CUST0451 </t>
        </is>
      </c>
      <c r="C451" s="2" t="inlineStr">
        <is>
          <t>2026-06-01 15:50:00</t>
        </is>
      </c>
      <c r="D451" s="2" t="inlineStr">
        <is>
          <t>MALE</t>
        </is>
      </c>
      <c r="E451" s="2" t="n">
        <v>28</v>
      </c>
      <c r="F451" s="2" t="inlineStr">
        <is>
          <t>Investment</t>
        </is>
      </c>
      <c r="G451" s="2" t="inlineStr">
        <is>
          <t>Utilities</t>
        </is>
      </c>
      <c r="H451" s="2" t="inlineStr">
        <is>
          <t>$5071.57</t>
        </is>
      </c>
      <c r="I451" s="2" t="n">
        <v>20467.98</v>
      </c>
      <c r="J451" s="2" t="inlineStr">
        <is>
          <t>ATM</t>
        </is>
      </c>
      <c r="K451" s="2" t="inlineStr">
        <is>
          <t>N</t>
        </is>
      </c>
    </row>
    <row r="452">
      <c r="A452" s="2" t="inlineStr">
        <is>
          <t>TXN100452</t>
        </is>
      </c>
      <c r="B452" s="2" t="inlineStr">
        <is>
          <t xml:space="preserve">  CUST0452 </t>
        </is>
      </c>
      <c r="C452" s="2" t="inlineStr">
        <is>
          <t>2026-06-01 12:00:00</t>
        </is>
      </c>
      <c r="D452" s="2" t="inlineStr">
        <is>
          <t>M</t>
        </is>
      </c>
      <c r="E452" s="2" t="n">
        <v>54</v>
      </c>
      <c r="F452" s="2" t="inlineStr">
        <is>
          <t>Savings</t>
        </is>
      </c>
      <c r="G452" s="2" t="inlineStr">
        <is>
          <t>Entertainment</t>
        </is>
      </c>
      <c r="H452" s="2" t="inlineStr">
        <is>
          <t>$7601.05</t>
        </is>
      </c>
      <c r="I452" s="2" t="n">
        <v>44654.32</v>
      </c>
      <c r="J452" s="2" t="inlineStr">
        <is>
          <t>Online Banking</t>
        </is>
      </c>
      <c r="K452" s="2" t="inlineStr">
        <is>
          <t>N</t>
        </is>
      </c>
    </row>
    <row r="453">
      <c r="A453" s="2" t="inlineStr">
        <is>
          <t>TXN100453</t>
        </is>
      </c>
      <c r="B453" s="2" t="inlineStr">
        <is>
          <t xml:space="preserve">  CUST0453 </t>
        </is>
      </c>
      <c r="C453" s="2" t="inlineStr">
        <is>
          <t>2026-06-01 00:40:00</t>
        </is>
      </c>
      <c r="D453" s="2" t="inlineStr">
        <is>
          <t>F</t>
        </is>
      </c>
      <c r="E453" s="2" t="n">
        <v>34</v>
      </c>
      <c r="F453" s="2" t="inlineStr">
        <is>
          <t>Investment</t>
        </is>
      </c>
      <c r="G453" s="2" t="inlineStr">
        <is>
          <t>Entertainment</t>
        </is>
      </c>
      <c r="H453" s="2" t="inlineStr">
        <is>
          <t>$2503.62</t>
        </is>
      </c>
      <c r="I453" s="2" t="n">
        <v>5584.06</v>
      </c>
      <c r="J453" s="2" t="inlineStr">
        <is>
          <t>Branch Office</t>
        </is>
      </c>
      <c r="K453" s="2" t="inlineStr">
        <is>
          <t>N</t>
        </is>
      </c>
    </row>
    <row r="454">
      <c r="A454" s="2" t="inlineStr">
        <is>
          <t>TXN100454</t>
        </is>
      </c>
      <c r="B454" s="2" t="inlineStr">
        <is>
          <t xml:space="preserve">  CUST0454 </t>
        </is>
      </c>
      <c r="C454" s="2" t="inlineStr">
        <is>
          <t>2026-06-01 05:04:00</t>
        </is>
      </c>
      <c r="D454" s="2" t="inlineStr">
        <is>
          <t>M</t>
        </is>
      </c>
      <c r="E454" s="2" t="n">
        <v>39</v>
      </c>
      <c r="F454" s="2" t="inlineStr">
        <is>
          <t>Checking</t>
        </is>
      </c>
      <c r="G454" s="2" t="inlineStr">
        <is>
          <t>Utilities</t>
        </is>
      </c>
      <c r="H454" s="2" t="inlineStr">
        <is>
          <t>$5825.38</t>
        </is>
      </c>
      <c r="I454" s="2" t="n">
        <v>30020.31</v>
      </c>
      <c r="J454" s="2" t="inlineStr">
        <is>
          <t>Branch Office</t>
        </is>
      </c>
      <c r="K454" s="2" t="inlineStr">
        <is>
          <t>N</t>
        </is>
      </c>
    </row>
    <row r="455">
      <c r="A455" s="2" t="inlineStr">
        <is>
          <t>TXN100455</t>
        </is>
      </c>
      <c r="B455" s="2" t="inlineStr">
        <is>
          <t xml:space="preserve">  CUST0455 </t>
        </is>
      </c>
      <c r="C455" s="2" t="inlineStr">
        <is>
          <t>2026-06-01 13:56:00</t>
        </is>
      </c>
      <c r="D455" s="2" t="inlineStr">
        <is>
          <t>Male</t>
        </is>
      </c>
      <c r="E455" s="2" t="n">
        <v>41</v>
      </c>
      <c r="F455" s="2" t="inlineStr">
        <is>
          <t>Checking</t>
        </is>
      </c>
      <c r="G455" s="2" t="inlineStr">
        <is>
          <t>Entertainment</t>
        </is>
      </c>
      <c r="H455" s="2" t="inlineStr">
        <is>
          <t>$6003.42</t>
        </is>
      </c>
      <c r="I455" s="2" t="n">
        <v>8661.73</v>
      </c>
      <c r="J455" s="2" t="inlineStr">
        <is>
          <t>ATM</t>
        </is>
      </c>
      <c r="K455" s="2" t="inlineStr">
        <is>
          <t>N</t>
        </is>
      </c>
    </row>
    <row r="456">
      <c r="A456" s="2" t="inlineStr">
        <is>
          <t>TXN100456</t>
        </is>
      </c>
      <c r="B456" s="2" t="inlineStr">
        <is>
          <t xml:space="preserve">  CUST0456 </t>
        </is>
      </c>
      <c r="C456" s="2" t="inlineStr">
        <is>
          <t>2026-06-01 00:14:00</t>
        </is>
      </c>
      <c r="D456" s="2" t="inlineStr">
        <is>
          <t>F</t>
        </is>
      </c>
      <c r="E456" s="2" t="n">
        <v>66</v>
      </c>
      <c r="F456" s="2" t="inlineStr">
        <is>
          <t>Savings</t>
        </is>
      </c>
      <c r="G456" s="2" t="inlineStr">
        <is>
          <t>GROCERIES</t>
        </is>
      </c>
      <c r="H456" s="2" t="inlineStr">
        <is>
          <t>$5875.27</t>
        </is>
      </c>
      <c r="I456" s="2" t="n">
        <v>29689.8</v>
      </c>
      <c r="J456" s="2" t="inlineStr">
        <is>
          <t>Online Banking</t>
        </is>
      </c>
      <c r="K456" s="2" t="inlineStr">
        <is>
          <t>N</t>
        </is>
      </c>
    </row>
    <row r="457">
      <c r="A457" s="2" t="inlineStr">
        <is>
          <t>TXN100457</t>
        </is>
      </c>
      <c r="B457" s="2" t="inlineStr">
        <is>
          <t xml:space="preserve">  CUST0457 </t>
        </is>
      </c>
      <c r="C457" s="2" t="inlineStr">
        <is>
          <t>2026-06-01 03:23:00</t>
        </is>
      </c>
      <c r="D457" s="2" t="inlineStr">
        <is>
          <t>M</t>
        </is>
      </c>
      <c r="E457" s="2" t="n">
        <v>44</v>
      </c>
      <c r="F457" s="2" t="inlineStr">
        <is>
          <t>Investment</t>
        </is>
      </c>
      <c r="G457" s="2" t="inlineStr">
        <is>
          <t>Entertainment</t>
        </is>
      </c>
      <c r="H457" s="2" t="inlineStr">
        <is>
          <t>$6172.28</t>
        </is>
      </c>
      <c r="I457" s="2" t="n">
        <v>31345.17</v>
      </c>
      <c r="J457" s="2" t="inlineStr">
        <is>
          <t xml:space="preserve">Mobile App </t>
        </is>
      </c>
      <c r="K457" s="2" t="inlineStr">
        <is>
          <t>N</t>
        </is>
      </c>
    </row>
    <row r="458">
      <c r="A458" s="2" t="inlineStr">
        <is>
          <t>TXN100458</t>
        </is>
      </c>
      <c r="B458" s="2" t="inlineStr">
        <is>
          <t xml:space="preserve">  CUST0458 </t>
        </is>
      </c>
      <c r="C458" s="2" t="inlineStr">
        <is>
          <t>2026-06-01 21:06:00</t>
        </is>
      </c>
      <c r="D458" s="2" t="inlineStr">
        <is>
          <t>M</t>
        </is>
      </c>
      <c r="E458" s="2" t="n">
        <v>23</v>
      </c>
      <c r="F458" s="2" t="inlineStr">
        <is>
          <t>Investment</t>
        </is>
      </c>
      <c r="G458" s="2" t="inlineStr">
        <is>
          <t>groceries</t>
        </is>
      </c>
      <c r="H458" s="2" t="inlineStr">
        <is>
          <t>$3340.04</t>
        </is>
      </c>
      <c r="I458" s="2" t="n">
        <v>19322.56</v>
      </c>
      <c r="J458" s="2" t="inlineStr">
        <is>
          <t>Branch Office</t>
        </is>
      </c>
      <c r="K458" s="2" t="inlineStr">
        <is>
          <t>N</t>
        </is>
      </c>
    </row>
    <row r="459">
      <c r="A459" s="2" t="inlineStr">
        <is>
          <t>TXN100459</t>
        </is>
      </c>
      <c r="B459" s="2" t="inlineStr">
        <is>
          <t xml:space="preserve">  CUST0459 </t>
        </is>
      </c>
      <c r="C459" s="2" t="inlineStr">
        <is>
          <t>2026-06-01 15:44:00</t>
        </is>
      </c>
      <c r="D459" s="2" t="inlineStr">
        <is>
          <t>Male</t>
        </is>
      </c>
      <c r="E459" s="2" t="n">
        <v>33</v>
      </c>
      <c r="F459" s="2" t="inlineStr">
        <is>
          <t>Investment</t>
        </is>
      </c>
      <c r="G459" s="2" t="inlineStr">
        <is>
          <t>groceries</t>
        </is>
      </c>
      <c r="H459" s="2" t="inlineStr">
        <is>
          <t>$2415.92</t>
        </is>
      </c>
      <c r="I459" s="2" t="n">
        <v>33252.4</v>
      </c>
      <c r="J459" s="2" t="inlineStr">
        <is>
          <t>Branch Office</t>
        </is>
      </c>
      <c r="K459" s="2" t="inlineStr">
        <is>
          <t>N</t>
        </is>
      </c>
    </row>
    <row r="460">
      <c r="A460" s="2" t="inlineStr">
        <is>
          <t>TXN100460</t>
        </is>
      </c>
      <c r="B460" s="2" t="inlineStr">
        <is>
          <t xml:space="preserve">  CUST0460 </t>
        </is>
      </c>
      <c r="C460" s="2" t="inlineStr">
        <is>
          <t>2026-06-01 19:38:00</t>
        </is>
      </c>
      <c r="D460" s="2" t="inlineStr">
        <is>
          <t>Male</t>
        </is>
      </c>
      <c r="E460" s="2" t="n">
        <v>46</v>
      </c>
      <c r="F460" s="2" t="inlineStr">
        <is>
          <t>Savings</t>
        </is>
      </c>
      <c r="G460" s="2" t="inlineStr">
        <is>
          <t>Travel</t>
        </is>
      </c>
      <c r="H460" s="2" t="inlineStr">
        <is>
          <t>$5752.94</t>
        </is>
      </c>
      <c r="I460" s="2" t="n">
        <v>6327.86</v>
      </c>
      <c r="J460" s="2" t="inlineStr">
        <is>
          <t xml:space="preserve">Mobile App </t>
        </is>
      </c>
      <c r="K460" s="2" t="inlineStr">
        <is>
          <t>N</t>
        </is>
      </c>
    </row>
    <row r="461">
      <c r="A461" s="2" t="inlineStr">
        <is>
          <t>TXN100461</t>
        </is>
      </c>
      <c r="B461" s="2" t="inlineStr">
        <is>
          <t xml:space="preserve">  CUST0461 </t>
        </is>
      </c>
      <c r="C461" s="2" t="inlineStr">
        <is>
          <t>2026-06-01 03:31:00</t>
        </is>
      </c>
      <c r="D461" s="2" t="inlineStr">
        <is>
          <t>F</t>
        </is>
      </c>
      <c r="E461" s="2" t="n">
        <v>58</v>
      </c>
      <c r="F461" s="2" t="inlineStr">
        <is>
          <t>Savings</t>
        </is>
      </c>
      <c r="G461" s="2" t="inlineStr">
        <is>
          <t>Entertainment</t>
        </is>
      </c>
      <c r="H461" s="2" t="inlineStr">
        <is>
          <t>$6653.68</t>
        </is>
      </c>
      <c r="I461" s="2" t="n">
        <v>48669.43</v>
      </c>
      <c r="J461" s="2" t="inlineStr">
        <is>
          <t>Branch Office</t>
        </is>
      </c>
      <c r="K461" s="2" t="inlineStr">
        <is>
          <t>N</t>
        </is>
      </c>
    </row>
    <row r="462">
      <c r="A462" s="2" t="inlineStr">
        <is>
          <t>TXN100462</t>
        </is>
      </c>
      <c r="B462" s="2" t="inlineStr">
        <is>
          <t xml:space="preserve">  CUST0462 </t>
        </is>
      </c>
      <c r="C462" s="2" t="inlineStr">
        <is>
          <t>2026-06-01 22:26:00</t>
        </is>
      </c>
      <c r="D462" s="2" t="inlineStr">
        <is>
          <t>female</t>
        </is>
      </c>
      <c r="E462" s="2" t="n">
        <v>30</v>
      </c>
      <c r="F462" s="2" t="inlineStr">
        <is>
          <t>Savings</t>
        </is>
      </c>
      <c r="G462" s="2" t="inlineStr">
        <is>
          <t>Travel</t>
        </is>
      </c>
      <c r="H462" s="2" t="inlineStr">
        <is>
          <t>$3975.87</t>
        </is>
      </c>
      <c r="I462" s="2" t="n">
        <v>10780.85</v>
      </c>
      <c r="J462" s="2" t="inlineStr">
        <is>
          <t>ATM</t>
        </is>
      </c>
      <c r="K462" s="2" t="inlineStr">
        <is>
          <t>N</t>
        </is>
      </c>
    </row>
    <row r="463">
      <c r="A463" s="2" t="inlineStr">
        <is>
          <t>TXN100463</t>
        </is>
      </c>
      <c r="B463" s="2" t="inlineStr">
        <is>
          <t xml:space="preserve">  CUST0463 </t>
        </is>
      </c>
      <c r="C463" s="2" t="inlineStr">
        <is>
          <t>2026-06-01 10:15:00</t>
        </is>
      </c>
      <c r="D463" s="2" t="inlineStr">
        <is>
          <t>M</t>
        </is>
      </c>
      <c r="E463" s="2" t="n">
        <v>20</v>
      </c>
      <c r="F463" s="2" t="inlineStr">
        <is>
          <t>Investment</t>
        </is>
      </c>
      <c r="G463" s="2" t="inlineStr">
        <is>
          <t>groceries</t>
        </is>
      </c>
      <c r="H463" s="2" t="inlineStr">
        <is>
          <t>$7255.97</t>
        </is>
      </c>
      <c r="I463" s="2" t="n">
        <v>41843.99</v>
      </c>
      <c r="J463" s="2" t="inlineStr">
        <is>
          <t>ATM</t>
        </is>
      </c>
      <c r="K463" s="2" t="inlineStr">
        <is>
          <t>N</t>
        </is>
      </c>
    </row>
    <row r="464">
      <c r="A464" s="2" t="inlineStr">
        <is>
          <t>TXN100464</t>
        </is>
      </c>
      <c r="B464" s="2" t="inlineStr">
        <is>
          <t xml:space="preserve">  CUST0464 </t>
        </is>
      </c>
      <c r="C464" s="2" t="inlineStr">
        <is>
          <t>2026-06-01 02:49:00</t>
        </is>
      </c>
      <c r="D464" s="2" t="inlineStr">
        <is>
          <t>MALE</t>
        </is>
      </c>
      <c r="E464" s="2" t="n">
        <v>66</v>
      </c>
      <c r="F464" s="2" t="inlineStr">
        <is>
          <t>Investment</t>
        </is>
      </c>
      <c r="G464" s="2" t="inlineStr">
        <is>
          <t>groceries</t>
        </is>
      </c>
      <c r="H464" s="2" t="inlineStr">
        <is>
          <t>$7239.19</t>
        </is>
      </c>
      <c r="I464" s="2" t="n">
        <v>32394.67</v>
      </c>
      <c r="J464" s="2" t="inlineStr">
        <is>
          <t>ATM</t>
        </is>
      </c>
      <c r="K464" s="2" t="inlineStr">
        <is>
          <t>Y</t>
        </is>
      </c>
    </row>
    <row r="465">
      <c r="A465" s="2" t="inlineStr">
        <is>
          <t>TXN100465</t>
        </is>
      </c>
      <c r="B465" s="2" t="inlineStr">
        <is>
          <t xml:space="preserve">  CUST0465 </t>
        </is>
      </c>
      <c r="C465" s="2" t="inlineStr">
        <is>
          <t>2026-06-01 09:16:00</t>
        </is>
      </c>
      <c r="D465" s="2" t="n"/>
      <c r="E465" s="2" t="n">
        <v>23</v>
      </c>
      <c r="F465" s="2" t="inlineStr">
        <is>
          <t>Savings</t>
        </is>
      </c>
      <c r="G465" s="2" t="inlineStr">
        <is>
          <t>GROCERIES</t>
        </is>
      </c>
      <c r="H465" s="2" t="inlineStr">
        <is>
          <t>$6994.38</t>
        </is>
      </c>
      <c r="I465" s="2" t="n">
        <v>42686.31</v>
      </c>
      <c r="J465" s="2" t="inlineStr">
        <is>
          <t>Branch Office</t>
        </is>
      </c>
      <c r="K465" s="2" t="inlineStr">
        <is>
          <t>N</t>
        </is>
      </c>
    </row>
    <row r="466">
      <c r="A466" s="2" t="inlineStr">
        <is>
          <t>TXN100466</t>
        </is>
      </c>
      <c r="B466" s="2" t="inlineStr">
        <is>
          <t xml:space="preserve">  CUST0466 </t>
        </is>
      </c>
      <c r="C466" s="2" t="inlineStr">
        <is>
          <t>2026-06-01 21:20:00</t>
        </is>
      </c>
      <c r="D466" s="3" t="inlineStr"/>
      <c r="E466" s="2" t="n">
        <v>67</v>
      </c>
      <c r="F466" s="2" t="inlineStr">
        <is>
          <t>Savings</t>
        </is>
      </c>
      <c r="G466" s="2" t="inlineStr">
        <is>
          <t>groceries</t>
        </is>
      </c>
      <c r="H466" s="2" t="inlineStr">
        <is>
          <t>$6811.45</t>
        </is>
      </c>
      <c r="I466" s="2" t="n">
        <v>44569.45</v>
      </c>
      <c r="J466" s="2" t="inlineStr">
        <is>
          <t xml:space="preserve">Mobile App </t>
        </is>
      </c>
      <c r="K466" s="2" t="inlineStr">
        <is>
          <t>N</t>
        </is>
      </c>
    </row>
    <row r="467">
      <c r="A467" s="2" t="inlineStr">
        <is>
          <t>TXN100467</t>
        </is>
      </c>
      <c r="B467" s="2" t="inlineStr">
        <is>
          <t xml:space="preserve">  CUST0467 </t>
        </is>
      </c>
      <c r="C467" s="2" t="inlineStr">
        <is>
          <t>2026-06-01 04:42:00</t>
        </is>
      </c>
      <c r="D467" s="2" t="inlineStr">
        <is>
          <t>Male</t>
        </is>
      </c>
      <c r="E467" s="2" t="n">
        <v>41</v>
      </c>
      <c r="F467" s="2" t="inlineStr">
        <is>
          <t>Checking</t>
        </is>
      </c>
      <c r="G467" s="2" t="inlineStr">
        <is>
          <t>Utilities</t>
        </is>
      </c>
      <c r="H467" s="2" t="inlineStr">
        <is>
          <t>$7641.16</t>
        </is>
      </c>
      <c r="I467" s="2" t="n">
        <v>13781.32</v>
      </c>
      <c r="J467" s="2" t="inlineStr">
        <is>
          <t xml:space="preserve">Mobile App </t>
        </is>
      </c>
      <c r="K467" s="2" t="inlineStr">
        <is>
          <t>N</t>
        </is>
      </c>
    </row>
    <row r="468">
      <c r="A468" s="2" t="inlineStr">
        <is>
          <t>TXN100468</t>
        </is>
      </c>
      <c r="B468" s="2" t="inlineStr">
        <is>
          <t xml:space="preserve">  CUST0468 </t>
        </is>
      </c>
      <c r="C468" s="2" t="inlineStr">
        <is>
          <t>2026-06-01 10:11:00</t>
        </is>
      </c>
      <c r="D468" s="2" t="inlineStr">
        <is>
          <t>MALE</t>
        </is>
      </c>
      <c r="E468" s="2" t="n">
        <v>45</v>
      </c>
      <c r="F468" s="2" t="inlineStr">
        <is>
          <t>Checking</t>
        </is>
      </c>
      <c r="G468" s="2" t="inlineStr">
        <is>
          <t>Utilities</t>
        </is>
      </c>
      <c r="H468" s="2" t="inlineStr">
        <is>
          <t>$2181.95</t>
        </is>
      </c>
      <c r="I468" s="2" t="n">
        <v>19592.92</v>
      </c>
      <c r="J468" s="2" t="inlineStr">
        <is>
          <t>ATM</t>
        </is>
      </c>
      <c r="K468" s="2" t="inlineStr">
        <is>
          <t>N</t>
        </is>
      </c>
    </row>
    <row r="469">
      <c r="A469" s="2" t="inlineStr">
        <is>
          <t>TXN100469</t>
        </is>
      </c>
      <c r="B469" s="2" t="inlineStr">
        <is>
          <t xml:space="preserve">  CUST0469 </t>
        </is>
      </c>
      <c r="C469" s="2" t="inlineStr">
        <is>
          <t>2026-06-01 13:41:00</t>
        </is>
      </c>
      <c r="D469" s="2" t="inlineStr">
        <is>
          <t>Male</t>
        </is>
      </c>
      <c r="E469" s="2" t="n">
        <v>27</v>
      </c>
      <c r="F469" s="2" t="inlineStr">
        <is>
          <t>Savings</t>
        </is>
      </c>
      <c r="G469" s="2" t="inlineStr">
        <is>
          <t>groceries</t>
        </is>
      </c>
      <c r="H469" s="2" t="inlineStr">
        <is>
          <t>$7852.74</t>
        </is>
      </c>
      <c r="I469" s="2" t="n">
        <v>42295.32</v>
      </c>
      <c r="J469" s="2" t="inlineStr">
        <is>
          <t xml:space="preserve">Mobile App </t>
        </is>
      </c>
      <c r="K469" s="2" t="inlineStr">
        <is>
          <t>N</t>
        </is>
      </c>
    </row>
    <row r="470">
      <c r="A470" s="2" t="inlineStr">
        <is>
          <t>TXN100470</t>
        </is>
      </c>
      <c r="B470" s="2" t="inlineStr">
        <is>
          <t xml:space="preserve">  CUST0470 </t>
        </is>
      </c>
      <c r="C470" s="2" t="inlineStr">
        <is>
          <t>2026-06-01 18:30:00</t>
        </is>
      </c>
      <c r="D470" s="2" t="n"/>
      <c r="E470" s="2" t="n">
        <v>31</v>
      </c>
      <c r="F470" s="2" t="inlineStr">
        <is>
          <t>Investment</t>
        </is>
      </c>
      <c r="G470" s="2" t="inlineStr">
        <is>
          <t>Utilities</t>
        </is>
      </c>
      <c r="H470" s="2" t="inlineStr">
        <is>
          <t>$6235.52</t>
        </is>
      </c>
      <c r="I470" s="2" t="n">
        <v>30762.24</v>
      </c>
      <c r="J470" s="2" t="inlineStr">
        <is>
          <t>Online Banking</t>
        </is>
      </c>
      <c r="K470" s="2" t="inlineStr">
        <is>
          <t>N</t>
        </is>
      </c>
    </row>
    <row r="471">
      <c r="A471" s="2" t="inlineStr">
        <is>
          <t>TXN100471</t>
        </is>
      </c>
      <c r="B471" s="2" t="inlineStr">
        <is>
          <t xml:space="preserve">  CUST0471 </t>
        </is>
      </c>
      <c r="C471" s="2" t="inlineStr">
        <is>
          <t>2026-06-01 15:58:00</t>
        </is>
      </c>
      <c r="D471" s="2" t="n"/>
      <c r="E471" s="2" t="n">
        <v>27</v>
      </c>
      <c r="F471" s="2" t="inlineStr">
        <is>
          <t>Checking</t>
        </is>
      </c>
      <c r="G471" s="2" t="inlineStr">
        <is>
          <t>Utilities</t>
        </is>
      </c>
      <c r="H471" s="2" t="inlineStr">
        <is>
          <t>$377.32</t>
        </is>
      </c>
      <c r="I471" s="2" t="n">
        <v>13449.84</v>
      </c>
      <c r="J471" s="2" t="inlineStr">
        <is>
          <t>Branch Office</t>
        </is>
      </c>
      <c r="K471" s="2" t="inlineStr">
        <is>
          <t>N</t>
        </is>
      </c>
    </row>
    <row r="472">
      <c r="A472" s="2" t="inlineStr">
        <is>
          <t>TXN100472</t>
        </is>
      </c>
      <c r="B472" s="2" t="inlineStr">
        <is>
          <t xml:space="preserve">  CUST0472 </t>
        </is>
      </c>
      <c r="C472" s="2" t="inlineStr">
        <is>
          <t>2026-06-01 00:45:00</t>
        </is>
      </c>
      <c r="D472" s="2" t="inlineStr">
        <is>
          <t>F</t>
        </is>
      </c>
      <c r="E472" s="2" t="n">
        <v>62</v>
      </c>
      <c r="F472" s="2" t="inlineStr">
        <is>
          <t>Checking</t>
        </is>
      </c>
      <c r="G472" s="2" t="inlineStr">
        <is>
          <t>Travel</t>
        </is>
      </c>
      <c r="H472" s="2" t="inlineStr">
        <is>
          <t>$4189.59</t>
        </is>
      </c>
      <c r="I472" s="2" t="n">
        <v>35178.72</v>
      </c>
      <c r="J472" s="2" t="inlineStr">
        <is>
          <t xml:space="preserve">Mobile App </t>
        </is>
      </c>
      <c r="K472" s="2" t="inlineStr">
        <is>
          <t>N</t>
        </is>
      </c>
    </row>
    <row r="473">
      <c r="A473" s="2" t="inlineStr">
        <is>
          <t>TXN100473</t>
        </is>
      </c>
      <c r="B473" s="2" t="inlineStr">
        <is>
          <t xml:space="preserve">  CUST0473 </t>
        </is>
      </c>
      <c r="C473" s="2" t="inlineStr">
        <is>
          <t>2026-06-01 13:42:00</t>
        </is>
      </c>
      <c r="D473" s="2" t="inlineStr">
        <is>
          <t>F</t>
        </is>
      </c>
      <c r="E473" s="2" t="n">
        <v>50</v>
      </c>
      <c r="F473" s="2" t="inlineStr">
        <is>
          <t>Checking</t>
        </is>
      </c>
      <c r="G473" s="2" t="inlineStr">
        <is>
          <t>Utilities</t>
        </is>
      </c>
      <c r="H473" s="2" t="inlineStr">
        <is>
          <t>$1197.75</t>
        </is>
      </c>
      <c r="I473" s="2" t="n">
        <v>41408.67</v>
      </c>
      <c r="J473" s="2" t="inlineStr">
        <is>
          <t xml:space="preserve">Mobile App </t>
        </is>
      </c>
      <c r="K473" s="2" t="inlineStr">
        <is>
          <t>N</t>
        </is>
      </c>
    </row>
    <row r="474">
      <c r="A474" s="2" t="inlineStr">
        <is>
          <t>TXN100474</t>
        </is>
      </c>
      <c r="B474" s="2" t="inlineStr">
        <is>
          <t xml:space="preserve">  CUST0474 </t>
        </is>
      </c>
      <c r="C474" s="2" t="inlineStr">
        <is>
          <t>2026-06-01 00:41:00</t>
        </is>
      </c>
      <c r="D474" s="2" t="inlineStr">
        <is>
          <t>Male</t>
        </is>
      </c>
      <c r="E474" s="2" t="n">
        <v>52</v>
      </c>
      <c r="F474" s="2" t="inlineStr">
        <is>
          <t>Checking</t>
        </is>
      </c>
      <c r="G474" s="2" t="inlineStr">
        <is>
          <t>Utilities</t>
        </is>
      </c>
      <c r="H474" s="2" t="inlineStr">
        <is>
          <t>$6956.63</t>
        </is>
      </c>
      <c r="I474" s="2" t="n">
        <v>4205.83</v>
      </c>
      <c r="J474" s="2" t="inlineStr">
        <is>
          <t>ATM</t>
        </is>
      </c>
      <c r="K474" s="2" t="inlineStr">
        <is>
          <t>N</t>
        </is>
      </c>
    </row>
    <row r="475">
      <c r="A475" s="2" t="inlineStr">
        <is>
          <t>TXN100475</t>
        </is>
      </c>
      <c r="B475" s="2" t="inlineStr">
        <is>
          <t xml:space="preserve">  CUST0475 </t>
        </is>
      </c>
      <c r="C475" s="2" t="inlineStr">
        <is>
          <t>2026-06-01 10:15:00</t>
        </is>
      </c>
      <c r="D475" s="2" t="inlineStr">
        <is>
          <t>Female</t>
        </is>
      </c>
      <c r="E475" s="2" t="n">
        <v>37</v>
      </c>
      <c r="F475" s="2" t="inlineStr">
        <is>
          <t>Savings</t>
        </is>
      </c>
      <c r="G475" s="2" t="inlineStr">
        <is>
          <t>Travel</t>
        </is>
      </c>
      <c r="H475" s="2" t="inlineStr">
        <is>
          <t>$1789.43</t>
        </is>
      </c>
      <c r="I475" s="2" t="n">
        <v>32344.21</v>
      </c>
      <c r="J475" s="2" t="inlineStr">
        <is>
          <t>ATM</t>
        </is>
      </c>
      <c r="K475" s="2" t="inlineStr">
        <is>
          <t>N</t>
        </is>
      </c>
    </row>
    <row r="476">
      <c r="A476" s="2" t="inlineStr">
        <is>
          <t>TXN100476</t>
        </is>
      </c>
      <c r="B476" s="2" t="inlineStr">
        <is>
          <t xml:space="preserve">  CUST0476 </t>
        </is>
      </c>
      <c r="C476" s="2" t="inlineStr">
        <is>
          <t>2026-06-01 07:05:00</t>
        </is>
      </c>
      <c r="D476" s="2" t="n"/>
      <c r="E476" s="2" t="n">
        <v>48</v>
      </c>
      <c r="F476" s="2" t="inlineStr">
        <is>
          <t>Investment</t>
        </is>
      </c>
      <c r="G476" s="2" t="inlineStr">
        <is>
          <t>Utilities</t>
        </is>
      </c>
      <c r="H476" s="2" t="inlineStr">
        <is>
          <t>$713.28</t>
        </is>
      </c>
      <c r="I476" s="2" t="n">
        <v>25173.58</v>
      </c>
      <c r="J476" s="2" t="inlineStr">
        <is>
          <t>Branch Office</t>
        </is>
      </c>
      <c r="K476" s="2" t="inlineStr">
        <is>
          <t>N</t>
        </is>
      </c>
    </row>
    <row r="477">
      <c r="A477" s="2" t="inlineStr">
        <is>
          <t>TXN100477</t>
        </is>
      </c>
      <c r="B477" s="2" t="inlineStr">
        <is>
          <t xml:space="preserve">  CUST0477 </t>
        </is>
      </c>
      <c r="C477" s="2" t="inlineStr">
        <is>
          <t>2026-06-01 03:31:00</t>
        </is>
      </c>
      <c r="D477" s="2" t="inlineStr">
        <is>
          <t>M</t>
        </is>
      </c>
      <c r="E477" s="2" t="n">
        <v>26</v>
      </c>
      <c r="F477" s="2" t="inlineStr">
        <is>
          <t>Checking</t>
        </is>
      </c>
      <c r="G477" s="2" t="inlineStr">
        <is>
          <t>Utilities</t>
        </is>
      </c>
      <c r="H477" s="2" t="inlineStr">
        <is>
          <t>$296.3</t>
        </is>
      </c>
      <c r="I477" s="2" t="n">
        <v>27680.39</v>
      </c>
      <c r="J477" s="2" t="inlineStr">
        <is>
          <t xml:space="preserve">Mobile App </t>
        </is>
      </c>
      <c r="K477" s="2" t="inlineStr">
        <is>
          <t>N</t>
        </is>
      </c>
    </row>
    <row r="478">
      <c r="A478" s="2" t="inlineStr">
        <is>
          <t>TXN100478</t>
        </is>
      </c>
      <c r="B478" s="2" t="inlineStr">
        <is>
          <t xml:space="preserve">  CUST0478 </t>
        </is>
      </c>
      <c r="C478" s="2" t="inlineStr">
        <is>
          <t>2026-06-01 19:39:00</t>
        </is>
      </c>
      <c r="D478" s="2" t="inlineStr">
        <is>
          <t>female</t>
        </is>
      </c>
      <c r="E478" s="2" t="n">
        <v>52</v>
      </c>
      <c r="F478" s="2" t="inlineStr">
        <is>
          <t>Investment</t>
        </is>
      </c>
      <c r="G478" s="2" t="inlineStr">
        <is>
          <t>GROCERIES</t>
        </is>
      </c>
      <c r="H478" s="2" t="inlineStr">
        <is>
          <t>$5240.22</t>
        </is>
      </c>
      <c r="I478" s="2" t="n">
        <v>23082.29</v>
      </c>
      <c r="J478" s="2" t="inlineStr">
        <is>
          <t>Branch Office</t>
        </is>
      </c>
      <c r="K478" s="2" t="inlineStr">
        <is>
          <t>N</t>
        </is>
      </c>
    </row>
    <row r="479">
      <c r="A479" s="2" t="inlineStr">
        <is>
          <t>TXN100479</t>
        </is>
      </c>
      <c r="B479" s="2" t="inlineStr">
        <is>
          <t xml:space="preserve">  CUST0479 </t>
        </is>
      </c>
      <c r="C479" s="2" t="inlineStr">
        <is>
          <t>2026-06-01 11:52:00</t>
        </is>
      </c>
      <c r="D479" s="2" t="inlineStr">
        <is>
          <t>M</t>
        </is>
      </c>
      <c r="E479" s="2" t="n">
        <v>72</v>
      </c>
      <c r="F479" s="2" t="inlineStr">
        <is>
          <t>Savings</t>
        </is>
      </c>
      <c r="G479" s="2" t="inlineStr">
        <is>
          <t>Utilities</t>
        </is>
      </c>
      <c r="H479" s="2" t="inlineStr">
        <is>
          <t>$2662.46</t>
        </is>
      </c>
      <c r="I479" s="2" t="n">
        <v>38487.11</v>
      </c>
      <c r="J479" s="2" t="inlineStr">
        <is>
          <t>ATM</t>
        </is>
      </c>
      <c r="K479" s="2" t="inlineStr">
        <is>
          <t>N</t>
        </is>
      </c>
    </row>
    <row r="480">
      <c r="A480" s="2" t="inlineStr">
        <is>
          <t>TXN100480</t>
        </is>
      </c>
      <c r="B480" s="2" t="inlineStr">
        <is>
          <t xml:space="preserve">  CUST0480 </t>
        </is>
      </c>
      <c r="C480" s="2" t="inlineStr">
        <is>
          <t>2026-06-01 22:42:00</t>
        </is>
      </c>
      <c r="D480" s="2" t="inlineStr">
        <is>
          <t>Female</t>
        </is>
      </c>
      <c r="E480" s="2" t="n">
        <v>65</v>
      </c>
      <c r="F480" s="2" t="inlineStr">
        <is>
          <t>Checking</t>
        </is>
      </c>
      <c r="G480" s="2" t="inlineStr">
        <is>
          <t>groceries</t>
        </is>
      </c>
      <c r="H480" s="2" t="inlineStr">
        <is>
          <t>$788.52</t>
        </is>
      </c>
      <c r="I480" s="2" t="n">
        <v>33116.06</v>
      </c>
      <c r="J480" s="2" t="inlineStr">
        <is>
          <t xml:space="preserve">Mobile App </t>
        </is>
      </c>
      <c r="K480" s="2" t="inlineStr">
        <is>
          <t>N</t>
        </is>
      </c>
    </row>
    <row r="481">
      <c r="A481" s="2" t="inlineStr">
        <is>
          <t>TXN100481</t>
        </is>
      </c>
      <c r="B481" s="2" t="inlineStr">
        <is>
          <t xml:space="preserve">  CUST0481 </t>
        </is>
      </c>
      <c r="C481" s="2" t="inlineStr">
        <is>
          <t>2026-06-01 10:22:00</t>
        </is>
      </c>
      <c r="D481" s="2" t="inlineStr">
        <is>
          <t>female</t>
        </is>
      </c>
      <c r="E481" s="2" t="n">
        <v>55</v>
      </c>
      <c r="F481" s="2" t="inlineStr">
        <is>
          <t>Investment</t>
        </is>
      </c>
      <c r="G481" s="2" t="inlineStr">
        <is>
          <t>Entertainment</t>
        </is>
      </c>
      <c r="H481" s="2" t="inlineStr">
        <is>
          <t>$5619.75</t>
        </is>
      </c>
      <c r="I481" s="2" t="n">
        <v>2766.02</v>
      </c>
      <c r="J481" s="2" t="inlineStr">
        <is>
          <t>Online Banking</t>
        </is>
      </c>
      <c r="K481" s="2" t="inlineStr">
        <is>
          <t>N</t>
        </is>
      </c>
    </row>
    <row r="482">
      <c r="A482" s="2" t="inlineStr">
        <is>
          <t>TXN100482</t>
        </is>
      </c>
      <c r="B482" s="2" t="inlineStr">
        <is>
          <t xml:space="preserve">  CUST0482 </t>
        </is>
      </c>
      <c r="C482" s="2" t="inlineStr">
        <is>
          <t>2026-06-01 15:08:00</t>
        </is>
      </c>
      <c r="D482" s="3" t="inlineStr"/>
      <c r="E482" s="2" t="n">
        <v>26</v>
      </c>
      <c r="F482" s="2" t="inlineStr">
        <is>
          <t>Checking</t>
        </is>
      </c>
      <c r="G482" s="2" t="inlineStr">
        <is>
          <t>Travel</t>
        </is>
      </c>
      <c r="H482" s="2" t="inlineStr">
        <is>
          <t>$1575.41</t>
        </is>
      </c>
      <c r="I482" s="2" t="n">
        <v>6476.92</v>
      </c>
      <c r="J482" s="2" t="inlineStr">
        <is>
          <t>ATM</t>
        </is>
      </c>
      <c r="K482" s="2" t="inlineStr">
        <is>
          <t>N</t>
        </is>
      </c>
    </row>
    <row r="483">
      <c r="A483" s="2" t="inlineStr">
        <is>
          <t>TXN100483</t>
        </is>
      </c>
      <c r="B483" s="2" t="inlineStr">
        <is>
          <t xml:space="preserve">  CUST0483 </t>
        </is>
      </c>
      <c r="C483" s="2" t="inlineStr">
        <is>
          <t>2026-06-01 06:29:00</t>
        </is>
      </c>
      <c r="D483" s="2" t="inlineStr">
        <is>
          <t>F</t>
        </is>
      </c>
      <c r="E483" s="2" t="n">
        <v>65</v>
      </c>
      <c r="F483" s="2" t="inlineStr">
        <is>
          <t>Checking</t>
        </is>
      </c>
      <c r="G483" s="2" t="inlineStr">
        <is>
          <t>groceries</t>
        </is>
      </c>
      <c r="H483" s="2" t="inlineStr">
        <is>
          <t>$6059.62</t>
        </is>
      </c>
      <c r="I483" s="2" t="n">
        <v>2801.77</v>
      </c>
      <c r="J483" s="2" t="inlineStr">
        <is>
          <t xml:space="preserve">Mobile App </t>
        </is>
      </c>
      <c r="K483" s="2" t="inlineStr">
        <is>
          <t>N</t>
        </is>
      </c>
    </row>
    <row r="484">
      <c r="A484" s="2" t="inlineStr">
        <is>
          <t>TXN100484</t>
        </is>
      </c>
      <c r="B484" s="2" t="inlineStr">
        <is>
          <t xml:space="preserve">  CUST0484 </t>
        </is>
      </c>
      <c r="C484" s="2" t="inlineStr">
        <is>
          <t>2026-06-01 14:29:00</t>
        </is>
      </c>
      <c r="D484" s="2" t="inlineStr">
        <is>
          <t>Male</t>
        </is>
      </c>
      <c r="E484" s="2" t="n">
        <v>51</v>
      </c>
      <c r="F484" s="2" t="inlineStr">
        <is>
          <t>Savings</t>
        </is>
      </c>
      <c r="G484" s="2" t="inlineStr">
        <is>
          <t>Travel</t>
        </is>
      </c>
      <c r="H484" s="2" t="inlineStr">
        <is>
          <t>$5892.35</t>
        </is>
      </c>
      <c r="I484" s="2" t="n">
        <v>27884.7</v>
      </c>
      <c r="J484" s="2" t="inlineStr">
        <is>
          <t>ATM</t>
        </is>
      </c>
      <c r="K484" s="2" t="inlineStr">
        <is>
          <t>N</t>
        </is>
      </c>
    </row>
    <row r="485">
      <c r="A485" s="2" t="inlineStr">
        <is>
          <t>TXN100485</t>
        </is>
      </c>
      <c r="B485" s="2" t="inlineStr">
        <is>
          <t xml:space="preserve">  CUST0485 </t>
        </is>
      </c>
      <c r="C485" s="2" t="inlineStr">
        <is>
          <t>2026-06-01 18:30:00</t>
        </is>
      </c>
      <c r="D485" s="2" t="inlineStr">
        <is>
          <t>Male</t>
        </is>
      </c>
      <c r="E485" s="2" t="n">
        <v>64</v>
      </c>
      <c r="F485" s="2" t="inlineStr">
        <is>
          <t>Investment</t>
        </is>
      </c>
      <c r="G485" s="2" t="inlineStr">
        <is>
          <t>GROCERIES</t>
        </is>
      </c>
      <c r="H485" s="2" t="inlineStr">
        <is>
          <t>$5846.65</t>
        </is>
      </c>
      <c r="I485" s="2" t="n">
        <v>6854.9</v>
      </c>
      <c r="J485" s="2" t="inlineStr">
        <is>
          <t>ATM</t>
        </is>
      </c>
      <c r="K485" s="2" t="inlineStr">
        <is>
          <t>N</t>
        </is>
      </c>
    </row>
    <row r="486">
      <c r="A486" s="2" t="inlineStr">
        <is>
          <t>TXN100486</t>
        </is>
      </c>
      <c r="B486" s="2" t="inlineStr">
        <is>
          <t xml:space="preserve">  CUST0486 </t>
        </is>
      </c>
      <c r="C486" s="2" t="inlineStr">
        <is>
          <t>2026-06-01 21:38:00</t>
        </is>
      </c>
      <c r="D486" s="2" t="inlineStr">
        <is>
          <t>Female</t>
        </is>
      </c>
      <c r="E486" s="2" t="n">
        <v>52</v>
      </c>
      <c r="F486" s="2" t="inlineStr">
        <is>
          <t>Checking</t>
        </is>
      </c>
      <c r="G486" s="2" t="inlineStr">
        <is>
          <t>Utilities</t>
        </is>
      </c>
      <c r="H486" s="2" t="inlineStr">
        <is>
          <t>$7836.21</t>
        </is>
      </c>
      <c r="I486" s="2" t="n">
        <v>45837.56</v>
      </c>
      <c r="J486" s="2" t="inlineStr">
        <is>
          <t>Online Banking</t>
        </is>
      </c>
      <c r="K486" s="2" t="inlineStr">
        <is>
          <t>N</t>
        </is>
      </c>
    </row>
    <row r="487">
      <c r="A487" s="2" t="inlineStr">
        <is>
          <t>TXN100487</t>
        </is>
      </c>
      <c r="B487" s="2" t="inlineStr">
        <is>
          <t xml:space="preserve">  CUST0487 </t>
        </is>
      </c>
      <c r="C487" s="2" t="inlineStr">
        <is>
          <t>2026-06-01 10:18:00</t>
        </is>
      </c>
      <c r="D487" s="2" t="n"/>
      <c r="E487" s="2" t="n">
        <v>71</v>
      </c>
      <c r="F487" s="2" t="inlineStr">
        <is>
          <t>Savings</t>
        </is>
      </c>
      <c r="G487" s="2" t="inlineStr">
        <is>
          <t>GROCERIES</t>
        </is>
      </c>
      <c r="H487" s="2" t="inlineStr">
        <is>
          <t>$3307.84</t>
        </is>
      </c>
      <c r="I487" s="2" t="n">
        <v>35150.71</v>
      </c>
      <c r="J487" s="2" t="inlineStr">
        <is>
          <t>Branch Office</t>
        </is>
      </c>
      <c r="K487" s="2" t="inlineStr">
        <is>
          <t>N</t>
        </is>
      </c>
    </row>
    <row r="488">
      <c r="A488" s="2" t="inlineStr">
        <is>
          <t>TXN100488</t>
        </is>
      </c>
      <c r="B488" s="2" t="inlineStr">
        <is>
          <t xml:space="preserve">  CUST0488 </t>
        </is>
      </c>
      <c r="C488" s="2" t="inlineStr">
        <is>
          <t>2026-06-01 22:35:00</t>
        </is>
      </c>
      <c r="D488" s="2" t="inlineStr">
        <is>
          <t>Female</t>
        </is>
      </c>
      <c r="E488" s="2" t="n">
        <v>65</v>
      </c>
      <c r="F488" s="2" t="inlineStr">
        <is>
          <t>Investment</t>
        </is>
      </c>
      <c r="G488" s="2" t="inlineStr">
        <is>
          <t>Travel</t>
        </is>
      </c>
      <c r="H488" s="2" t="inlineStr">
        <is>
          <t>$5064.34</t>
        </is>
      </c>
      <c r="I488" s="2" t="n">
        <v>10444.01</v>
      </c>
      <c r="J488" s="2" t="inlineStr">
        <is>
          <t>Branch Office</t>
        </is>
      </c>
      <c r="K488" s="2" t="inlineStr">
        <is>
          <t>N</t>
        </is>
      </c>
    </row>
    <row r="489">
      <c r="A489" s="2" t="inlineStr">
        <is>
          <t>TXN100489</t>
        </is>
      </c>
      <c r="B489" s="2" t="inlineStr">
        <is>
          <t xml:space="preserve">  CUST0489 </t>
        </is>
      </c>
      <c r="C489" s="2" t="inlineStr">
        <is>
          <t>2026-06-01 21:22:00</t>
        </is>
      </c>
      <c r="D489" s="2" t="inlineStr">
        <is>
          <t>Male</t>
        </is>
      </c>
      <c r="E489" s="2" t="n">
        <v>65</v>
      </c>
      <c r="F489" s="2" t="inlineStr">
        <is>
          <t>Investment</t>
        </is>
      </c>
      <c r="G489" s="2" t="inlineStr">
        <is>
          <t>GROCERIES</t>
        </is>
      </c>
      <c r="H489" s="2" t="inlineStr">
        <is>
          <t>$4036.11</t>
        </is>
      </c>
      <c r="I489" s="2" t="n">
        <v>34868.44</v>
      </c>
      <c r="J489" s="2" t="inlineStr">
        <is>
          <t>Branch Office</t>
        </is>
      </c>
      <c r="K489" s="2" t="inlineStr">
        <is>
          <t>N</t>
        </is>
      </c>
    </row>
    <row r="490">
      <c r="A490" s="2" t="inlineStr">
        <is>
          <t>TXN100490</t>
        </is>
      </c>
      <c r="B490" s="2" t="inlineStr">
        <is>
          <t xml:space="preserve">  CUST0490 </t>
        </is>
      </c>
      <c r="C490" s="2" t="inlineStr">
        <is>
          <t>2026-06-01 22:07:00</t>
        </is>
      </c>
      <c r="D490" s="2" t="inlineStr">
        <is>
          <t>Female</t>
        </is>
      </c>
      <c r="E490" s="2" t="n">
        <v>55</v>
      </c>
      <c r="F490" s="2" t="inlineStr">
        <is>
          <t>Checking</t>
        </is>
      </c>
      <c r="G490" s="2" t="inlineStr">
        <is>
          <t>Travel</t>
        </is>
      </c>
      <c r="H490" s="2" t="inlineStr">
        <is>
          <t>$4569.4</t>
        </is>
      </c>
      <c r="I490" s="2" t="n">
        <v>33524.28</v>
      </c>
      <c r="J490" s="2" t="inlineStr">
        <is>
          <t>ATM</t>
        </is>
      </c>
      <c r="K490" s="2" t="inlineStr">
        <is>
          <t>N</t>
        </is>
      </c>
    </row>
    <row r="491">
      <c r="A491" s="2" t="inlineStr">
        <is>
          <t>TXN100491</t>
        </is>
      </c>
      <c r="B491" s="2" t="inlineStr">
        <is>
          <t xml:space="preserve">  CUST0491 </t>
        </is>
      </c>
      <c r="C491" s="2" t="inlineStr">
        <is>
          <t>2026-06-01 21:47:00</t>
        </is>
      </c>
      <c r="D491" s="2" t="inlineStr">
        <is>
          <t>female</t>
        </is>
      </c>
      <c r="E491" s="2" t="n">
        <v>74</v>
      </c>
      <c r="F491" s="2" t="inlineStr">
        <is>
          <t>Checking</t>
        </is>
      </c>
      <c r="G491" s="2" t="inlineStr">
        <is>
          <t>groceries</t>
        </is>
      </c>
      <c r="H491" s="2" t="inlineStr">
        <is>
          <t>$4186.61</t>
        </is>
      </c>
      <c r="I491" s="2" t="n">
        <v>1750.97</v>
      </c>
      <c r="J491" s="2" t="inlineStr">
        <is>
          <t>Online Banking</t>
        </is>
      </c>
      <c r="K491" s="2" t="inlineStr">
        <is>
          <t>N</t>
        </is>
      </c>
    </row>
    <row r="492">
      <c r="A492" s="2" t="inlineStr">
        <is>
          <t>TXN100492</t>
        </is>
      </c>
      <c r="B492" s="2" t="inlineStr">
        <is>
          <t xml:space="preserve">  CUST0492 </t>
        </is>
      </c>
      <c r="C492" s="2" t="inlineStr">
        <is>
          <t>2026-06-01 01:42:00</t>
        </is>
      </c>
      <c r="D492" s="2" t="inlineStr">
        <is>
          <t>M</t>
        </is>
      </c>
      <c r="E492" s="2" t="n">
        <v>32</v>
      </c>
      <c r="F492" s="2" t="inlineStr">
        <is>
          <t>Checking</t>
        </is>
      </c>
      <c r="G492" s="2" t="inlineStr">
        <is>
          <t>GROCERIES</t>
        </is>
      </c>
      <c r="H492" s="2" t="inlineStr">
        <is>
          <t>$7868.42</t>
        </is>
      </c>
      <c r="I492" s="2" t="n">
        <v>34327.82</v>
      </c>
      <c r="J492" s="2" t="inlineStr">
        <is>
          <t>Online Banking</t>
        </is>
      </c>
      <c r="K492" s="2" t="inlineStr">
        <is>
          <t>Y</t>
        </is>
      </c>
    </row>
    <row r="493">
      <c r="A493" s="2" t="inlineStr">
        <is>
          <t>TXN100493</t>
        </is>
      </c>
      <c r="B493" s="2" t="inlineStr">
        <is>
          <t xml:space="preserve">  CUST0493 </t>
        </is>
      </c>
      <c r="C493" s="2" t="inlineStr">
        <is>
          <t>2026-06-01 22:50:00</t>
        </is>
      </c>
      <c r="D493" s="2" t="inlineStr">
        <is>
          <t>female</t>
        </is>
      </c>
      <c r="E493" s="2" t="n">
        <v>33</v>
      </c>
      <c r="F493" s="2" t="inlineStr">
        <is>
          <t>Investment</t>
        </is>
      </c>
      <c r="G493" s="2" t="inlineStr">
        <is>
          <t>groceries</t>
        </is>
      </c>
      <c r="H493" s="2" t="inlineStr">
        <is>
          <t>$2875.87</t>
        </is>
      </c>
      <c r="I493" s="2" t="n">
        <v>22903.43</v>
      </c>
      <c r="J493" s="2" t="inlineStr">
        <is>
          <t>Online Banking</t>
        </is>
      </c>
      <c r="K493" s="2" t="inlineStr">
        <is>
          <t>N</t>
        </is>
      </c>
    </row>
    <row r="494">
      <c r="A494" s="2" t="inlineStr">
        <is>
          <t>TXN100494</t>
        </is>
      </c>
      <c r="B494" s="2" t="inlineStr">
        <is>
          <t xml:space="preserve">  CUST0494 </t>
        </is>
      </c>
      <c r="C494" s="2" t="inlineStr">
        <is>
          <t>2026-06-01 23:41:00</t>
        </is>
      </c>
      <c r="D494" s="3" t="inlineStr"/>
      <c r="E494" s="2" t="n">
        <v>35</v>
      </c>
      <c r="F494" s="2" t="inlineStr">
        <is>
          <t>Investment</t>
        </is>
      </c>
      <c r="G494" s="2" t="inlineStr">
        <is>
          <t>Entertainment</t>
        </is>
      </c>
      <c r="H494" s="2" t="inlineStr">
        <is>
          <t>$5546.56</t>
        </is>
      </c>
      <c r="I494" s="2" t="n">
        <v>2825.5</v>
      </c>
      <c r="J494" s="2" t="inlineStr">
        <is>
          <t>ATM</t>
        </is>
      </c>
      <c r="K494" s="2" t="inlineStr">
        <is>
          <t>N</t>
        </is>
      </c>
    </row>
    <row r="495">
      <c r="A495" s="2" t="inlineStr">
        <is>
          <t>TXN100495</t>
        </is>
      </c>
      <c r="B495" s="2" t="inlineStr">
        <is>
          <t xml:space="preserve">  CUST0495 </t>
        </is>
      </c>
      <c r="C495" s="2" t="inlineStr">
        <is>
          <t>2026-06-01 12:26:00</t>
        </is>
      </c>
      <c r="D495" s="2" t="inlineStr">
        <is>
          <t>Female</t>
        </is>
      </c>
      <c r="E495" s="2" t="n">
        <v>55</v>
      </c>
      <c r="F495" s="2" t="inlineStr">
        <is>
          <t>Savings</t>
        </is>
      </c>
      <c r="G495" s="2" t="inlineStr">
        <is>
          <t>groceries</t>
        </is>
      </c>
      <c r="H495" s="2" t="inlineStr">
        <is>
          <t>$5951.92</t>
        </is>
      </c>
      <c r="I495" s="2" t="n">
        <v>10552.82</v>
      </c>
      <c r="J495" s="2" t="inlineStr">
        <is>
          <t>ATM</t>
        </is>
      </c>
      <c r="K495" s="2" t="inlineStr">
        <is>
          <t>N</t>
        </is>
      </c>
    </row>
    <row r="496">
      <c r="A496" s="2" t="inlineStr">
        <is>
          <t>TXN100496</t>
        </is>
      </c>
      <c r="B496" s="2" t="inlineStr">
        <is>
          <t xml:space="preserve">  CUST0496 </t>
        </is>
      </c>
      <c r="C496" s="2" t="inlineStr">
        <is>
          <t>2026-06-01 07:58:00</t>
        </is>
      </c>
      <c r="D496" s="2" t="inlineStr">
        <is>
          <t>Female</t>
        </is>
      </c>
      <c r="E496" s="2" t="n">
        <v>68</v>
      </c>
      <c r="F496" s="2" t="inlineStr">
        <is>
          <t>Investment</t>
        </is>
      </c>
      <c r="G496" s="2" t="inlineStr">
        <is>
          <t>Travel</t>
        </is>
      </c>
      <c r="H496" s="2" t="inlineStr">
        <is>
          <t>$5910.22</t>
        </is>
      </c>
      <c r="I496" s="2" t="n">
        <v>10225.22</v>
      </c>
      <c r="J496" s="2" t="inlineStr">
        <is>
          <t>Online Banking</t>
        </is>
      </c>
      <c r="K496" s="2" t="inlineStr">
        <is>
          <t>N</t>
        </is>
      </c>
    </row>
    <row r="497">
      <c r="A497" s="2" t="inlineStr">
        <is>
          <t>TXN100497</t>
        </is>
      </c>
      <c r="B497" s="2" t="inlineStr">
        <is>
          <t xml:space="preserve">  CUST0497 </t>
        </is>
      </c>
      <c r="C497" s="2" t="inlineStr">
        <is>
          <t>2026-06-01 09:28:00</t>
        </is>
      </c>
      <c r="D497" s="2" t="inlineStr">
        <is>
          <t>Male</t>
        </is>
      </c>
      <c r="E497" s="2" t="n">
        <v>63</v>
      </c>
      <c r="F497" s="2" t="inlineStr">
        <is>
          <t>Savings</t>
        </is>
      </c>
      <c r="G497" s="2" t="inlineStr">
        <is>
          <t>GROCERIES</t>
        </is>
      </c>
      <c r="H497" s="2" t="inlineStr">
        <is>
          <t>$7700.18</t>
        </is>
      </c>
      <c r="I497" s="2" t="n">
        <v>36886.43</v>
      </c>
      <c r="J497" s="2" t="inlineStr">
        <is>
          <t xml:space="preserve">Mobile App </t>
        </is>
      </c>
      <c r="K497" s="2" t="inlineStr">
        <is>
          <t>N</t>
        </is>
      </c>
    </row>
    <row r="498">
      <c r="A498" s="2" t="inlineStr">
        <is>
          <t>TXN100498</t>
        </is>
      </c>
      <c r="B498" s="2" t="inlineStr">
        <is>
          <t xml:space="preserve">  CUST0498 </t>
        </is>
      </c>
      <c r="C498" s="2" t="inlineStr">
        <is>
          <t>2026-06-01 13:17:00</t>
        </is>
      </c>
      <c r="D498" s="2" t="inlineStr">
        <is>
          <t>female</t>
        </is>
      </c>
      <c r="E498" s="2" t="n">
        <v>28</v>
      </c>
      <c r="F498" s="2" t="inlineStr">
        <is>
          <t>Savings</t>
        </is>
      </c>
      <c r="G498" s="2" t="inlineStr">
        <is>
          <t>Travel</t>
        </is>
      </c>
      <c r="H498" s="2" t="inlineStr">
        <is>
          <t>$6769.65</t>
        </is>
      </c>
      <c r="I498" s="2" t="n">
        <v>779.4299999999999</v>
      </c>
      <c r="J498" s="2" t="inlineStr">
        <is>
          <t>ATM</t>
        </is>
      </c>
      <c r="K498" s="2" t="inlineStr">
        <is>
          <t>N</t>
        </is>
      </c>
    </row>
    <row r="499">
      <c r="A499" s="2" t="inlineStr">
        <is>
          <t>TXN100499</t>
        </is>
      </c>
      <c r="B499" s="2" t="inlineStr">
        <is>
          <t xml:space="preserve">  CUST0499 </t>
        </is>
      </c>
      <c r="C499" s="2" t="inlineStr">
        <is>
          <t>2026-06-01 22:59:00</t>
        </is>
      </c>
      <c r="D499" s="2" t="inlineStr">
        <is>
          <t>Male</t>
        </is>
      </c>
      <c r="E499" s="2" t="n">
        <v>22</v>
      </c>
      <c r="F499" s="2" t="inlineStr">
        <is>
          <t>Savings</t>
        </is>
      </c>
      <c r="G499" s="2" t="inlineStr">
        <is>
          <t>Entertainment</t>
        </is>
      </c>
      <c r="H499" s="2" t="inlineStr">
        <is>
          <t>$4779.07</t>
        </is>
      </c>
      <c r="I499" s="2" t="n">
        <v>38796.22</v>
      </c>
      <c r="J499" s="2" t="inlineStr">
        <is>
          <t>Branch Office</t>
        </is>
      </c>
      <c r="K499" s="2" t="inlineStr">
        <is>
          <t>N</t>
        </is>
      </c>
    </row>
    <row r="500">
      <c r="A500" s="2" t="inlineStr">
        <is>
          <t>TXN100500</t>
        </is>
      </c>
      <c r="B500" s="2" t="inlineStr">
        <is>
          <t xml:space="preserve">  CUST0500 </t>
        </is>
      </c>
      <c r="C500" s="2" t="inlineStr">
        <is>
          <t>2026-06-01 15:50:00</t>
        </is>
      </c>
      <c r="D500" s="2" t="inlineStr">
        <is>
          <t>Female</t>
        </is>
      </c>
      <c r="E500" s="2" t="n">
        <v>24</v>
      </c>
      <c r="F500" s="2" t="inlineStr">
        <is>
          <t>Investment</t>
        </is>
      </c>
      <c r="G500" s="2" t="inlineStr">
        <is>
          <t>Entertainment</t>
        </is>
      </c>
      <c r="H500" s="2" t="inlineStr">
        <is>
          <t>$4207.91</t>
        </is>
      </c>
      <c r="I500" s="2" t="n">
        <v>47870.89</v>
      </c>
      <c r="J500" s="2" t="inlineStr">
        <is>
          <t xml:space="preserve">Mobile App </t>
        </is>
      </c>
      <c r="K500" s="2" t="inlineStr">
        <is>
          <t>N</t>
        </is>
      </c>
    </row>
    <row r="501">
      <c r="A501" s="2" t="inlineStr">
        <is>
          <t>TXN100501</t>
        </is>
      </c>
      <c r="B501" s="2" t="inlineStr">
        <is>
          <t xml:space="preserve">  CUST0501 </t>
        </is>
      </c>
      <c r="C501" s="2" t="inlineStr">
        <is>
          <t>2026-06-01 16:10:00</t>
        </is>
      </c>
      <c r="D501" s="3" t="inlineStr"/>
      <c r="E501" s="2" t="n">
        <v>54</v>
      </c>
      <c r="F501" s="2" t="inlineStr">
        <is>
          <t>Investment</t>
        </is>
      </c>
      <c r="G501" s="2" t="inlineStr">
        <is>
          <t>Utilities</t>
        </is>
      </c>
      <c r="H501" s="2" t="inlineStr">
        <is>
          <t>$744.64</t>
        </is>
      </c>
      <c r="I501" s="2" t="n">
        <v>11449.31</v>
      </c>
      <c r="J501" s="2" t="inlineStr">
        <is>
          <t>Online Banking</t>
        </is>
      </c>
      <c r="K501" s="2" t="inlineStr">
        <is>
          <t>N</t>
        </is>
      </c>
    </row>
    <row r="502">
      <c r="A502" s="2" t="inlineStr">
        <is>
          <t>TXN100502</t>
        </is>
      </c>
      <c r="B502" s="2" t="inlineStr">
        <is>
          <t xml:space="preserve">  CUST0502 </t>
        </is>
      </c>
      <c r="C502" s="2" t="inlineStr">
        <is>
          <t>2026-06-01 21:21:00</t>
        </is>
      </c>
      <c r="D502" s="2" t="inlineStr">
        <is>
          <t>Female</t>
        </is>
      </c>
      <c r="E502" s="2" t="n">
        <v>43</v>
      </c>
      <c r="F502" s="2" t="inlineStr">
        <is>
          <t>Checking</t>
        </is>
      </c>
      <c r="G502" s="2" t="inlineStr">
        <is>
          <t>GROCERIES</t>
        </is>
      </c>
      <c r="H502" s="2" t="inlineStr">
        <is>
          <t>$7602.96</t>
        </is>
      </c>
      <c r="I502" s="2" t="n">
        <v>31104.89</v>
      </c>
      <c r="J502" s="2" t="inlineStr">
        <is>
          <t>ATM</t>
        </is>
      </c>
      <c r="K502" s="2" t="inlineStr">
        <is>
          <t>Y</t>
        </is>
      </c>
    </row>
    <row r="503">
      <c r="A503" s="2" t="inlineStr">
        <is>
          <t>TXN100503</t>
        </is>
      </c>
      <c r="B503" s="2" t="inlineStr">
        <is>
          <t xml:space="preserve">  CUST0503 </t>
        </is>
      </c>
      <c r="C503" s="2" t="inlineStr">
        <is>
          <t>2026-06-01 20:00:00</t>
        </is>
      </c>
      <c r="D503" s="2" t="inlineStr">
        <is>
          <t>MALE</t>
        </is>
      </c>
      <c r="E503" s="2" t="n">
        <v>62</v>
      </c>
      <c r="F503" s="2" t="inlineStr">
        <is>
          <t>Checking</t>
        </is>
      </c>
      <c r="G503" s="2" t="inlineStr">
        <is>
          <t>Utilities</t>
        </is>
      </c>
      <c r="H503" s="2" t="inlineStr">
        <is>
          <t>$1930.38</t>
        </is>
      </c>
      <c r="I503" s="2" t="n">
        <v>32292.09</v>
      </c>
      <c r="J503" s="2" t="inlineStr">
        <is>
          <t>Online Banking</t>
        </is>
      </c>
      <c r="K503" s="2" t="inlineStr">
        <is>
          <t>N</t>
        </is>
      </c>
    </row>
    <row r="504">
      <c r="A504" s="2" t="inlineStr">
        <is>
          <t>TXN100504</t>
        </is>
      </c>
      <c r="B504" s="2" t="inlineStr">
        <is>
          <t xml:space="preserve">  CUST0504 </t>
        </is>
      </c>
      <c r="C504" s="2" t="inlineStr">
        <is>
          <t>2026-06-01 01:43:00</t>
        </is>
      </c>
      <c r="D504" s="2" t="inlineStr">
        <is>
          <t>Female</t>
        </is>
      </c>
      <c r="E504" s="2" t="n">
        <v>44</v>
      </c>
      <c r="F504" s="2" t="inlineStr">
        <is>
          <t>Savings</t>
        </is>
      </c>
      <c r="G504" s="2" t="inlineStr">
        <is>
          <t>Utilities</t>
        </is>
      </c>
      <c r="H504" s="2" t="inlineStr">
        <is>
          <t>$2060.16</t>
        </is>
      </c>
      <c r="I504" s="2" t="n">
        <v>36336.79</v>
      </c>
      <c r="J504" s="2" t="inlineStr">
        <is>
          <t xml:space="preserve">Mobile App </t>
        </is>
      </c>
      <c r="K504" s="2" t="inlineStr">
        <is>
          <t>N</t>
        </is>
      </c>
    </row>
    <row r="505">
      <c r="A505" s="2" t="inlineStr">
        <is>
          <t>TXN100505</t>
        </is>
      </c>
      <c r="B505" s="2" t="inlineStr">
        <is>
          <t xml:space="preserve">  CUST0505 </t>
        </is>
      </c>
      <c r="C505" s="2" t="inlineStr">
        <is>
          <t>2026-06-01 16:52:00</t>
        </is>
      </c>
      <c r="D505" s="2" t="inlineStr">
        <is>
          <t>Female</t>
        </is>
      </c>
      <c r="E505" s="2" t="n">
        <v>52</v>
      </c>
      <c r="F505" s="2" t="inlineStr">
        <is>
          <t>Investment</t>
        </is>
      </c>
      <c r="G505" s="2" t="inlineStr">
        <is>
          <t>Utilities</t>
        </is>
      </c>
      <c r="H505" s="2" t="inlineStr">
        <is>
          <t>$3899.57</t>
        </is>
      </c>
      <c r="I505" s="2" t="n">
        <v>15173.48</v>
      </c>
      <c r="J505" s="2" t="inlineStr">
        <is>
          <t>Online Banking</t>
        </is>
      </c>
      <c r="K505" s="2" t="inlineStr">
        <is>
          <t>N</t>
        </is>
      </c>
    </row>
    <row r="506">
      <c r="A506" s="2" t="inlineStr">
        <is>
          <t>TXN100506</t>
        </is>
      </c>
      <c r="B506" s="2" t="inlineStr">
        <is>
          <t xml:space="preserve">  CUST0506 </t>
        </is>
      </c>
      <c r="C506" s="2" t="inlineStr">
        <is>
          <t>2026-06-01 10:32:00</t>
        </is>
      </c>
      <c r="D506" s="2" t="inlineStr">
        <is>
          <t>MALE</t>
        </is>
      </c>
      <c r="E506" s="2" t="n">
        <v>26</v>
      </c>
      <c r="F506" s="2" t="inlineStr">
        <is>
          <t>Savings</t>
        </is>
      </c>
      <c r="G506" s="2" t="inlineStr">
        <is>
          <t>Travel</t>
        </is>
      </c>
      <c r="H506" s="2" t="inlineStr">
        <is>
          <t>$4270.31</t>
        </is>
      </c>
      <c r="I506" s="2" t="n">
        <v>31533.19</v>
      </c>
      <c r="J506" s="2" t="inlineStr">
        <is>
          <t>Online Banking</t>
        </is>
      </c>
      <c r="K506" s="2" t="inlineStr">
        <is>
          <t>N</t>
        </is>
      </c>
    </row>
    <row r="507">
      <c r="A507" s="2" t="inlineStr">
        <is>
          <t>TXN100507</t>
        </is>
      </c>
      <c r="B507" s="2" t="inlineStr">
        <is>
          <t xml:space="preserve">  CUST0507 </t>
        </is>
      </c>
      <c r="C507" s="2" t="inlineStr">
        <is>
          <t>2026-06-01 21:40:00</t>
        </is>
      </c>
      <c r="D507" s="2" t="inlineStr">
        <is>
          <t>F</t>
        </is>
      </c>
      <c r="E507" s="2" t="n">
        <v>75</v>
      </c>
      <c r="F507" s="2" t="inlineStr">
        <is>
          <t>Investment</t>
        </is>
      </c>
      <c r="G507" s="2" t="inlineStr">
        <is>
          <t>Utilities</t>
        </is>
      </c>
      <c r="H507" s="2" t="inlineStr">
        <is>
          <t>$6686.96</t>
        </is>
      </c>
      <c r="I507" s="2" t="n">
        <v>10676.19</v>
      </c>
      <c r="J507" s="2" t="inlineStr">
        <is>
          <t>ATM</t>
        </is>
      </c>
      <c r="K507" s="2" t="inlineStr">
        <is>
          <t>N</t>
        </is>
      </c>
    </row>
    <row r="508">
      <c r="A508" s="2" t="inlineStr">
        <is>
          <t>TXN100508</t>
        </is>
      </c>
      <c r="B508" s="2" t="inlineStr">
        <is>
          <t xml:space="preserve">  CUST0508 </t>
        </is>
      </c>
      <c r="C508" s="2" t="inlineStr">
        <is>
          <t>2026-06-01 20:52:00</t>
        </is>
      </c>
      <c r="D508" s="2" t="inlineStr">
        <is>
          <t>MALE</t>
        </is>
      </c>
      <c r="E508" s="2" t="n">
        <v>67</v>
      </c>
      <c r="F508" s="2" t="inlineStr">
        <is>
          <t>Investment</t>
        </is>
      </c>
      <c r="G508" s="2" t="inlineStr">
        <is>
          <t>GROCERIES</t>
        </is>
      </c>
      <c r="H508" s="2" t="inlineStr">
        <is>
          <t>$199.79</t>
        </is>
      </c>
      <c r="I508" s="2" t="n">
        <v>35984.98</v>
      </c>
      <c r="J508" s="2" t="inlineStr">
        <is>
          <t xml:space="preserve">Mobile App </t>
        </is>
      </c>
      <c r="K508" s="2" t="inlineStr">
        <is>
          <t>N</t>
        </is>
      </c>
    </row>
    <row r="509">
      <c r="A509" s="2" t="inlineStr">
        <is>
          <t>TXN100509</t>
        </is>
      </c>
      <c r="B509" s="2" t="inlineStr">
        <is>
          <t xml:space="preserve">  CUST0509 </t>
        </is>
      </c>
      <c r="C509" s="2" t="inlineStr">
        <is>
          <t>2026-06-01 02:04:00</t>
        </is>
      </c>
      <c r="D509" s="2" t="inlineStr">
        <is>
          <t>M</t>
        </is>
      </c>
      <c r="E509" s="2" t="n">
        <v>31</v>
      </c>
      <c r="F509" s="2" t="inlineStr">
        <is>
          <t>Checking</t>
        </is>
      </c>
      <c r="G509" s="2" t="inlineStr">
        <is>
          <t>Travel</t>
        </is>
      </c>
      <c r="H509" s="2" t="inlineStr">
        <is>
          <t>$572.83</t>
        </is>
      </c>
      <c r="I509" s="2" t="n">
        <v>41170.16</v>
      </c>
      <c r="J509" s="2" t="inlineStr">
        <is>
          <t>Branch Office</t>
        </is>
      </c>
      <c r="K509" s="2" t="inlineStr">
        <is>
          <t>N</t>
        </is>
      </c>
    </row>
    <row r="510">
      <c r="A510" s="2" t="inlineStr">
        <is>
          <t>TXN100510</t>
        </is>
      </c>
      <c r="B510" s="2" t="inlineStr">
        <is>
          <t xml:space="preserve">  CUST0510 </t>
        </is>
      </c>
      <c r="C510" s="2" t="inlineStr">
        <is>
          <t>2026-06-01 13:24:00</t>
        </is>
      </c>
      <c r="D510" s="2" t="n"/>
      <c r="E510" s="2" t="n">
        <v>60</v>
      </c>
      <c r="F510" s="2" t="inlineStr">
        <is>
          <t>Checking</t>
        </is>
      </c>
      <c r="G510" s="2" t="inlineStr">
        <is>
          <t>Utilities</t>
        </is>
      </c>
      <c r="H510" s="2" t="inlineStr">
        <is>
          <t>$2538.07</t>
        </is>
      </c>
      <c r="I510" s="2" t="n">
        <v>19780.34</v>
      </c>
      <c r="J510" s="2" t="inlineStr">
        <is>
          <t xml:space="preserve">Mobile App </t>
        </is>
      </c>
      <c r="K510" s="2" t="inlineStr">
        <is>
          <t>N</t>
        </is>
      </c>
    </row>
    <row r="511">
      <c r="A511" s="2" t="inlineStr">
        <is>
          <t>TXN100511</t>
        </is>
      </c>
      <c r="B511" s="2" t="inlineStr">
        <is>
          <t xml:space="preserve">  CUST0511 </t>
        </is>
      </c>
      <c r="C511" s="2" t="inlineStr">
        <is>
          <t>2026-06-01 17:00:00</t>
        </is>
      </c>
      <c r="D511" s="2" t="inlineStr">
        <is>
          <t>MALE</t>
        </is>
      </c>
      <c r="E511" s="2" t="n">
        <v>68</v>
      </c>
      <c r="F511" s="2" t="inlineStr">
        <is>
          <t>Investment</t>
        </is>
      </c>
      <c r="G511" s="2" t="inlineStr">
        <is>
          <t>Travel</t>
        </is>
      </c>
      <c r="H511" s="2" t="inlineStr">
        <is>
          <t>$373.68</t>
        </is>
      </c>
      <c r="I511" s="2" t="n">
        <v>42488.44</v>
      </c>
      <c r="J511" s="2" t="inlineStr">
        <is>
          <t>Branch Office</t>
        </is>
      </c>
      <c r="K511" s="2" t="inlineStr">
        <is>
          <t>N</t>
        </is>
      </c>
    </row>
    <row r="512">
      <c r="A512" s="2" t="inlineStr">
        <is>
          <t>TXN100512</t>
        </is>
      </c>
      <c r="B512" s="2" t="inlineStr">
        <is>
          <t xml:space="preserve">  CUST0512 </t>
        </is>
      </c>
      <c r="C512" s="2" t="inlineStr">
        <is>
          <t>2026-06-01 16:06:00</t>
        </is>
      </c>
      <c r="D512" s="2" t="inlineStr">
        <is>
          <t>female</t>
        </is>
      </c>
      <c r="E512" s="2" t="n">
        <v>70</v>
      </c>
      <c r="F512" s="2" t="inlineStr">
        <is>
          <t>Investment</t>
        </is>
      </c>
      <c r="G512" s="2" t="inlineStr">
        <is>
          <t>Entertainment</t>
        </is>
      </c>
      <c r="H512" s="2" t="inlineStr">
        <is>
          <t>$4856.46</t>
        </is>
      </c>
      <c r="I512" s="2" t="n">
        <v>14435.11</v>
      </c>
      <c r="J512" s="2" t="inlineStr">
        <is>
          <t>ATM</t>
        </is>
      </c>
      <c r="K512" s="2" t="inlineStr">
        <is>
          <t>N</t>
        </is>
      </c>
    </row>
    <row r="513">
      <c r="A513" s="2" t="inlineStr">
        <is>
          <t>TXN100513</t>
        </is>
      </c>
      <c r="B513" s="2" t="inlineStr">
        <is>
          <t xml:space="preserve">  CUST0513 </t>
        </is>
      </c>
      <c r="C513" s="2" t="inlineStr">
        <is>
          <t>2026-06-01 12:25:00</t>
        </is>
      </c>
      <c r="D513" s="2" t="inlineStr">
        <is>
          <t>M</t>
        </is>
      </c>
      <c r="E513" s="2" t="n">
        <v>50</v>
      </c>
      <c r="F513" s="2" t="inlineStr">
        <is>
          <t>Savings</t>
        </is>
      </c>
      <c r="G513" s="2" t="inlineStr">
        <is>
          <t>Travel</t>
        </is>
      </c>
      <c r="H513" s="2" t="inlineStr">
        <is>
          <t>$1766.73</t>
        </is>
      </c>
      <c r="I513" s="2" t="n">
        <v>37464.32</v>
      </c>
      <c r="J513" s="2" t="inlineStr">
        <is>
          <t>Branch Office</t>
        </is>
      </c>
      <c r="K513" s="2" t="inlineStr">
        <is>
          <t>N</t>
        </is>
      </c>
    </row>
    <row r="514">
      <c r="A514" s="2" t="inlineStr">
        <is>
          <t>TXN100514</t>
        </is>
      </c>
      <c r="B514" s="2" t="inlineStr">
        <is>
          <t xml:space="preserve">  CUST0514 </t>
        </is>
      </c>
      <c r="C514" s="2" t="inlineStr">
        <is>
          <t>2026-06-01 20:09:00</t>
        </is>
      </c>
      <c r="D514" s="2" t="inlineStr">
        <is>
          <t>female</t>
        </is>
      </c>
      <c r="E514" s="2" t="n">
        <v>63</v>
      </c>
      <c r="F514" s="2" t="inlineStr">
        <is>
          <t>Investment</t>
        </is>
      </c>
      <c r="G514" s="2" t="inlineStr">
        <is>
          <t>Entertainment</t>
        </is>
      </c>
      <c r="H514" s="2" t="inlineStr">
        <is>
          <t>$7659.56</t>
        </is>
      </c>
      <c r="I514" s="2" t="n">
        <v>1051.94</v>
      </c>
      <c r="J514" s="2" t="inlineStr">
        <is>
          <t>Online Banking</t>
        </is>
      </c>
      <c r="K514" s="2" t="inlineStr">
        <is>
          <t>N</t>
        </is>
      </c>
    </row>
    <row r="515">
      <c r="A515" s="2" t="inlineStr">
        <is>
          <t>TXN100515</t>
        </is>
      </c>
      <c r="B515" s="2" t="inlineStr">
        <is>
          <t xml:space="preserve">  CUST0515 </t>
        </is>
      </c>
      <c r="C515" s="2" t="inlineStr">
        <is>
          <t>2026-06-01 00:36:00</t>
        </is>
      </c>
      <c r="D515" s="3" t="inlineStr"/>
      <c r="E515" s="2" t="n">
        <v>54</v>
      </c>
      <c r="F515" s="2" t="inlineStr">
        <is>
          <t>Investment</t>
        </is>
      </c>
      <c r="G515" s="2" t="inlineStr">
        <is>
          <t>groceries</t>
        </is>
      </c>
      <c r="H515" s="2" t="inlineStr">
        <is>
          <t>$2444.48</t>
        </is>
      </c>
      <c r="I515" s="2" t="n">
        <v>37540.68</v>
      </c>
      <c r="J515" s="2" t="inlineStr">
        <is>
          <t>Branch Office</t>
        </is>
      </c>
      <c r="K515" s="2" t="inlineStr">
        <is>
          <t>N</t>
        </is>
      </c>
    </row>
    <row r="516">
      <c r="A516" s="2" t="inlineStr">
        <is>
          <t>TXN100516</t>
        </is>
      </c>
      <c r="B516" s="2" t="inlineStr">
        <is>
          <t xml:space="preserve">  CUST0516 </t>
        </is>
      </c>
      <c r="C516" s="2" t="inlineStr">
        <is>
          <t>2026-06-01 06:26:00</t>
        </is>
      </c>
      <c r="D516" s="2" t="inlineStr">
        <is>
          <t>Male</t>
        </is>
      </c>
      <c r="E516" s="2" t="n">
        <v>30</v>
      </c>
      <c r="F516" s="2" t="inlineStr">
        <is>
          <t>Savings</t>
        </is>
      </c>
      <c r="G516" s="2" t="inlineStr">
        <is>
          <t>GROCERIES</t>
        </is>
      </c>
      <c r="H516" s="2" t="inlineStr">
        <is>
          <t>$4938.91</t>
        </is>
      </c>
      <c r="I516" s="2" t="n">
        <v>13010.72</v>
      </c>
      <c r="J516" s="2" t="inlineStr">
        <is>
          <t xml:space="preserve">Mobile App </t>
        </is>
      </c>
      <c r="K516" s="2" t="inlineStr">
        <is>
          <t>N</t>
        </is>
      </c>
    </row>
    <row r="517">
      <c r="A517" s="2" t="inlineStr">
        <is>
          <t>TXN100517</t>
        </is>
      </c>
      <c r="B517" s="2" t="inlineStr">
        <is>
          <t xml:space="preserve">  CUST0517 </t>
        </is>
      </c>
      <c r="C517" s="2" t="inlineStr">
        <is>
          <t>2026-06-01 05:42:00</t>
        </is>
      </c>
      <c r="D517" s="2" t="inlineStr">
        <is>
          <t>M</t>
        </is>
      </c>
      <c r="E517" s="2" t="n">
        <v>74</v>
      </c>
      <c r="F517" s="2" t="inlineStr">
        <is>
          <t>Investment</t>
        </is>
      </c>
      <c r="G517" s="2" t="inlineStr">
        <is>
          <t>Utilities</t>
        </is>
      </c>
      <c r="H517" s="2" t="inlineStr">
        <is>
          <t>$5160.95</t>
        </is>
      </c>
      <c r="I517" s="2" t="n">
        <v>4120.66</v>
      </c>
      <c r="J517" s="2" t="inlineStr">
        <is>
          <t xml:space="preserve">Mobile App </t>
        </is>
      </c>
      <c r="K517" s="2" t="inlineStr">
        <is>
          <t>N</t>
        </is>
      </c>
    </row>
    <row r="518">
      <c r="A518" s="2" t="inlineStr">
        <is>
          <t>TXN100518</t>
        </is>
      </c>
      <c r="B518" s="2" t="inlineStr">
        <is>
          <t xml:space="preserve">  CUST0518 </t>
        </is>
      </c>
      <c r="C518" s="2" t="inlineStr">
        <is>
          <t>2026-06-01 08:06:00</t>
        </is>
      </c>
      <c r="D518" s="2" t="inlineStr">
        <is>
          <t>F</t>
        </is>
      </c>
      <c r="E518" s="2" t="n">
        <v>66</v>
      </c>
      <c r="F518" s="2" t="inlineStr">
        <is>
          <t>Investment</t>
        </is>
      </c>
      <c r="G518" s="2" t="inlineStr">
        <is>
          <t>Utilities</t>
        </is>
      </c>
      <c r="H518" s="2" t="inlineStr">
        <is>
          <t>$7612.8</t>
        </is>
      </c>
      <c r="I518" s="2" t="n">
        <v>18178.35</v>
      </c>
      <c r="J518" s="2" t="inlineStr">
        <is>
          <t>Online Banking</t>
        </is>
      </c>
      <c r="K518" s="2" t="inlineStr">
        <is>
          <t>N</t>
        </is>
      </c>
    </row>
    <row r="519">
      <c r="A519" s="2" t="inlineStr">
        <is>
          <t>TXN100519</t>
        </is>
      </c>
      <c r="B519" s="2" t="inlineStr">
        <is>
          <t xml:space="preserve">  CUST0519 </t>
        </is>
      </c>
      <c r="C519" s="2" t="inlineStr">
        <is>
          <t>2026-06-01 19:04:00</t>
        </is>
      </c>
      <c r="D519" s="2" t="inlineStr">
        <is>
          <t>F</t>
        </is>
      </c>
      <c r="E519" s="2" t="n">
        <v>40</v>
      </c>
      <c r="F519" s="2" t="inlineStr">
        <is>
          <t>Checking</t>
        </is>
      </c>
      <c r="G519" s="2" t="inlineStr">
        <is>
          <t>Utilities</t>
        </is>
      </c>
      <c r="H519" s="2" t="inlineStr">
        <is>
          <t>$2633.49</t>
        </is>
      </c>
      <c r="I519" s="2" t="n">
        <v>33141.4</v>
      </c>
      <c r="J519" s="2" t="inlineStr">
        <is>
          <t>Online Banking</t>
        </is>
      </c>
      <c r="K519" s="2" t="inlineStr">
        <is>
          <t>N</t>
        </is>
      </c>
    </row>
    <row r="520">
      <c r="A520" s="2" t="inlineStr">
        <is>
          <t>TXN100520</t>
        </is>
      </c>
      <c r="B520" s="2" t="inlineStr">
        <is>
          <t xml:space="preserve">  CUST0520 </t>
        </is>
      </c>
      <c r="C520" s="2" t="inlineStr">
        <is>
          <t>2026-06-01 18:36:00</t>
        </is>
      </c>
      <c r="D520" s="2" t="inlineStr">
        <is>
          <t>Female</t>
        </is>
      </c>
      <c r="E520" s="2" t="n">
        <v>71</v>
      </c>
      <c r="F520" s="2" t="inlineStr">
        <is>
          <t>Checking</t>
        </is>
      </c>
      <c r="G520" s="2" t="inlineStr">
        <is>
          <t>Utilities</t>
        </is>
      </c>
      <c r="H520" s="2" t="inlineStr">
        <is>
          <t>$1357.43</t>
        </is>
      </c>
      <c r="I520" s="2" t="n">
        <v>16004.13</v>
      </c>
      <c r="J520" s="2" t="inlineStr">
        <is>
          <t>Online Banking</t>
        </is>
      </c>
      <c r="K520" s="2" t="inlineStr">
        <is>
          <t>N</t>
        </is>
      </c>
    </row>
    <row r="521">
      <c r="A521" s="2" t="inlineStr">
        <is>
          <t>TXN100521</t>
        </is>
      </c>
      <c r="B521" s="2" t="inlineStr">
        <is>
          <t xml:space="preserve">  CUST0521 </t>
        </is>
      </c>
      <c r="C521" s="2" t="inlineStr">
        <is>
          <t>2026-06-01 22:47:00</t>
        </is>
      </c>
      <c r="D521" s="3" t="inlineStr"/>
      <c r="E521" s="2" t="n">
        <v>37</v>
      </c>
      <c r="F521" s="2" t="inlineStr">
        <is>
          <t>Checking</t>
        </is>
      </c>
      <c r="G521" s="2" t="inlineStr">
        <is>
          <t>GROCERIES</t>
        </is>
      </c>
      <c r="H521" s="2" t="inlineStr">
        <is>
          <t>$5439.85</t>
        </is>
      </c>
      <c r="I521" s="2" t="n">
        <v>16912.37</v>
      </c>
      <c r="J521" s="2" t="inlineStr">
        <is>
          <t>ATM</t>
        </is>
      </c>
      <c r="K521" s="2" t="inlineStr">
        <is>
          <t>N</t>
        </is>
      </c>
    </row>
    <row r="522">
      <c r="A522" s="2" t="inlineStr">
        <is>
          <t>TXN100522</t>
        </is>
      </c>
      <c r="B522" s="2" t="inlineStr">
        <is>
          <t xml:space="preserve">  CUST0522 </t>
        </is>
      </c>
      <c r="C522" s="2" t="inlineStr">
        <is>
          <t>2026-06-01 14:28:00</t>
        </is>
      </c>
      <c r="D522" s="2" t="inlineStr">
        <is>
          <t>Female</t>
        </is>
      </c>
      <c r="E522" s="2" t="n">
        <v>69</v>
      </c>
      <c r="F522" s="2" t="inlineStr">
        <is>
          <t>Checking</t>
        </is>
      </c>
      <c r="G522" s="2" t="inlineStr">
        <is>
          <t>Utilities</t>
        </is>
      </c>
      <c r="H522" s="2" t="inlineStr">
        <is>
          <t>$4417.86</t>
        </is>
      </c>
      <c r="I522" s="2" t="n">
        <v>9200.620000000001</v>
      </c>
      <c r="J522" s="2" t="inlineStr">
        <is>
          <t xml:space="preserve">Mobile App </t>
        </is>
      </c>
      <c r="K522" s="2" t="inlineStr">
        <is>
          <t>N</t>
        </is>
      </c>
    </row>
    <row r="523">
      <c r="A523" s="2" t="inlineStr">
        <is>
          <t>TXN100523</t>
        </is>
      </c>
      <c r="B523" s="2" t="inlineStr">
        <is>
          <t xml:space="preserve">  CUST0523 </t>
        </is>
      </c>
      <c r="C523" s="2" t="inlineStr">
        <is>
          <t>2026-06-01 08:54:00</t>
        </is>
      </c>
      <c r="D523" s="2" t="inlineStr">
        <is>
          <t>Male</t>
        </is>
      </c>
      <c r="E523" s="2" t="n">
        <v>54</v>
      </c>
      <c r="F523" s="2" t="inlineStr">
        <is>
          <t>Savings</t>
        </is>
      </c>
      <c r="G523" s="2" t="inlineStr">
        <is>
          <t>Entertainment</t>
        </is>
      </c>
      <c r="H523" s="2" t="inlineStr">
        <is>
          <t>$5871.02</t>
        </is>
      </c>
      <c r="I523" s="2" t="n">
        <v>31517.63</v>
      </c>
      <c r="J523" s="2" t="inlineStr">
        <is>
          <t xml:space="preserve">Mobile App </t>
        </is>
      </c>
      <c r="K523" s="2" t="inlineStr">
        <is>
          <t>N</t>
        </is>
      </c>
    </row>
    <row r="524">
      <c r="A524" s="2" t="inlineStr">
        <is>
          <t>TXN100524</t>
        </is>
      </c>
      <c r="B524" s="2" t="inlineStr">
        <is>
          <t xml:space="preserve">  CUST0524 </t>
        </is>
      </c>
      <c r="C524" s="2" t="inlineStr">
        <is>
          <t>2026-06-01 00:54:00</t>
        </is>
      </c>
      <c r="D524" s="2" t="inlineStr">
        <is>
          <t>M</t>
        </is>
      </c>
      <c r="E524" s="2" t="n">
        <v>72</v>
      </c>
      <c r="F524" s="2" t="inlineStr">
        <is>
          <t>Investment</t>
        </is>
      </c>
      <c r="G524" s="2" t="inlineStr">
        <is>
          <t>Travel</t>
        </is>
      </c>
      <c r="H524" s="2" t="inlineStr">
        <is>
          <t>$3247.02</t>
        </is>
      </c>
      <c r="I524" s="2" t="n">
        <v>29706.8</v>
      </c>
      <c r="J524" s="2" t="inlineStr">
        <is>
          <t xml:space="preserve">Mobile App </t>
        </is>
      </c>
      <c r="K524" s="2" t="inlineStr">
        <is>
          <t>N</t>
        </is>
      </c>
    </row>
    <row r="525">
      <c r="A525" s="2" t="inlineStr">
        <is>
          <t>TXN100525</t>
        </is>
      </c>
      <c r="B525" s="2" t="inlineStr">
        <is>
          <t xml:space="preserve">  CUST0525 </t>
        </is>
      </c>
      <c r="C525" s="2" t="inlineStr">
        <is>
          <t>2026-06-01 17:16:00</t>
        </is>
      </c>
      <c r="D525" s="2" t="n"/>
      <c r="E525" s="2" t="n">
        <v>61</v>
      </c>
      <c r="F525" s="2" t="inlineStr">
        <is>
          <t>Savings</t>
        </is>
      </c>
      <c r="G525" s="2" t="inlineStr">
        <is>
          <t>Entertainment</t>
        </is>
      </c>
      <c r="H525" s="2" t="inlineStr">
        <is>
          <t>$3146.06</t>
        </is>
      </c>
      <c r="I525" s="2" t="n">
        <v>44626.16</v>
      </c>
      <c r="J525" s="2" t="inlineStr">
        <is>
          <t>Branch Office</t>
        </is>
      </c>
      <c r="K525" s="2" t="inlineStr">
        <is>
          <t>N</t>
        </is>
      </c>
    </row>
    <row r="526">
      <c r="A526" s="2" t="inlineStr">
        <is>
          <t>TXN100526</t>
        </is>
      </c>
      <c r="B526" s="2" t="inlineStr">
        <is>
          <t xml:space="preserve">  CUST0526 </t>
        </is>
      </c>
      <c r="C526" s="2" t="inlineStr">
        <is>
          <t>2026-06-01 04:29:00</t>
        </is>
      </c>
      <c r="D526" s="2" t="inlineStr">
        <is>
          <t>MALE</t>
        </is>
      </c>
      <c r="E526" s="2" t="n">
        <v>45</v>
      </c>
      <c r="F526" s="2" t="inlineStr">
        <is>
          <t>Checking</t>
        </is>
      </c>
      <c r="G526" s="2" t="inlineStr">
        <is>
          <t>Travel</t>
        </is>
      </c>
      <c r="H526" s="2" t="inlineStr">
        <is>
          <t>$94.63</t>
        </is>
      </c>
      <c r="I526" s="2" t="n">
        <v>12324.6</v>
      </c>
      <c r="J526" s="2" t="inlineStr">
        <is>
          <t>Online Banking</t>
        </is>
      </c>
      <c r="K526" s="2" t="inlineStr">
        <is>
          <t>N</t>
        </is>
      </c>
    </row>
    <row r="527">
      <c r="A527" s="2" t="inlineStr">
        <is>
          <t>TXN100527</t>
        </is>
      </c>
      <c r="B527" s="2" t="inlineStr">
        <is>
          <t xml:space="preserve">  CUST0527 </t>
        </is>
      </c>
      <c r="C527" s="2" t="inlineStr">
        <is>
          <t>2026-06-01 16:08:00</t>
        </is>
      </c>
      <c r="D527" s="2" t="n"/>
      <c r="E527" s="2" t="n">
        <v>30</v>
      </c>
      <c r="F527" s="2" t="inlineStr">
        <is>
          <t>Savings</t>
        </is>
      </c>
      <c r="G527" s="2" t="inlineStr">
        <is>
          <t>Travel</t>
        </is>
      </c>
      <c r="H527" s="2" t="inlineStr">
        <is>
          <t>$7590.21</t>
        </is>
      </c>
      <c r="I527" s="2" t="n">
        <v>33140.96</v>
      </c>
      <c r="J527" s="2" t="inlineStr">
        <is>
          <t>Online Banking</t>
        </is>
      </c>
      <c r="K527" s="2" t="inlineStr">
        <is>
          <t>Y</t>
        </is>
      </c>
    </row>
    <row r="528">
      <c r="A528" s="2" t="inlineStr">
        <is>
          <t>TXN100528</t>
        </is>
      </c>
      <c r="B528" s="2" t="inlineStr">
        <is>
          <t xml:space="preserve">  CUST0528 </t>
        </is>
      </c>
      <c r="C528" s="2" t="inlineStr">
        <is>
          <t>2026-06-01 15:22:00</t>
        </is>
      </c>
      <c r="D528" s="2" t="inlineStr">
        <is>
          <t>M</t>
        </is>
      </c>
      <c r="E528" s="2" t="n">
        <v>34</v>
      </c>
      <c r="F528" s="2" t="inlineStr">
        <is>
          <t>Checking</t>
        </is>
      </c>
      <c r="G528" s="2" t="inlineStr">
        <is>
          <t>GROCERIES</t>
        </is>
      </c>
      <c r="H528" s="2" t="inlineStr">
        <is>
          <t>$512.26</t>
        </is>
      </c>
      <c r="I528" s="2" t="n">
        <v>18787.04</v>
      </c>
      <c r="J528" s="2" t="inlineStr">
        <is>
          <t xml:space="preserve">Mobile App </t>
        </is>
      </c>
      <c r="K528" s="2" t="inlineStr">
        <is>
          <t>N</t>
        </is>
      </c>
    </row>
    <row r="529">
      <c r="A529" s="2" t="inlineStr">
        <is>
          <t>TXN100529</t>
        </is>
      </c>
      <c r="B529" s="2" t="inlineStr">
        <is>
          <t xml:space="preserve">  CUST0529 </t>
        </is>
      </c>
      <c r="C529" s="2" t="inlineStr">
        <is>
          <t>2026-06-01 21:13:00</t>
        </is>
      </c>
      <c r="D529" s="2" t="inlineStr">
        <is>
          <t>Female</t>
        </is>
      </c>
      <c r="E529" s="2" t="n">
        <v>44</v>
      </c>
      <c r="F529" s="2" t="inlineStr">
        <is>
          <t>Checking</t>
        </is>
      </c>
      <c r="G529" s="2" t="inlineStr">
        <is>
          <t>Utilities</t>
        </is>
      </c>
      <c r="H529" s="2" t="inlineStr">
        <is>
          <t>$7053.6</t>
        </is>
      </c>
      <c r="I529" s="2" t="n">
        <v>2475.28</v>
      </c>
      <c r="J529" s="2" t="inlineStr">
        <is>
          <t>Branch Office</t>
        </is>
      </c>
      <c r="K529" s="2" t="inlineStr">
        <is>
          <t>N</t>
        </is>
      </c>
    </row>
    <row r="530">
      <c r="A530" s="2" t="inlineStr">
        <is>
          <t>TXN100530</t>
        </is>
      </c>
      <c r="B530" s="2" t="inlineStr">
        <is>
          <t xml:space="preserve">  CUST0530 </t>
        </is>
      </c>
      <c r="C530" s="2" t="inlineStr">
        <is>
          <t>2026-06-01 16:40:00</t>
        </is>
      </c>
      <c r="D530" s="2" t="inlineStr">
        <is>
          <t>female</t>
        </is>
      </c>
      <c r="E530" s="2" t="n">
        <v>73</v>
      </c>
      <c r="F530" s="2" t="inlineStr">
        <is>
          <t>Investment</t>
        </is>
      </c>
      <c r="G530" s="2" t="inlineStr">
        <is>
          <t>Entertainment</t>
        </is>
      </c>
      <c r="H530" s="2" t="inlineStr">
        <is>
          <t>$4633.27</t>
        </is>
      </c>
      <c r="I530" s="2" t="n">
        <v>28722.93</v>
      </c>
      <c r="J530" s="2" t="inlineStr">
        <is>
          <t>ATM</t>
        </is>
      </c>
      <c r="K530" s="2" t="inlineStr">
        <is>
          <t>N</t>
        </is>
      </c>
    </row>
    <row r="531">
      <c r="A531" s="2" t="inlineStr">
        <is>
          <t>TXN100531</t>
        </is>
      </c>
      <c r="B531" s="2" t="inlineStr">
        <is>
          <t xml:space="preserve">  CUST0531 </t>
        </is>
      </c>
      <c r="C531" s="2" t="inlineStr">
        <is>
          <t>2026-06-01 20:24:00</t>
        </is>
      </c>
      <c r="D531" s="2" t="inlineStr">
        <is>
          <t>Female</t>
        </is>
      </c>
      <c r="E531" s="2" t="n">
        <v>57</v>
      </c>
      <c r="F531" s="2" t="inlineStr">
        <is>
          <t>Investment</t>
        </is>
      </c>
      <c r="G531" s="2" t="inlineStr">
        <is>
          <t>groceries</t>
        </is>
      </c>
      <c r="H531" s="2" t="inlineStr">
        <is>
          <t>$4138.14</t>
        </is>
      </c>
      <c r="I531" s="2" t="n">
        <v>19128.27</v>
      </c>
      <c r="J531" s="2" t="inlineStr">
        <is>
          <t>Online Banking</t>
        </is>
      </c>
      <c r="K531" s="2" t="inlineStr">
        <is>
          <t>N</t>
        </is>
      </c>
    </row>
    <row r="532">
      <c r="A532" s="2" t="inlineStr">
        <is>
          <t>TXN100532</t>
        </is>
      </c>
      <c r="B532" s="2" t="inlineStr">
        <is>
          <t xml:space="preserve">  CUST0532 </t>
        </is>
      </c>
      <c r="C532" s="2" t="inlineStr">
        <is>
          <t>2026-06-01 16:25:00</t>
        </is>
      </c>
      <c r="D532" s="2" t="inlineStr">
        <is>
          <t>Female</t>
        </is>
      </c>
      <c r="E532" s="2" t="n">
        <v>72</v>
      </c>
      <c r="F532" s="2" t="inlineStr">
        <is>
          <t>Checking</t>
        </is>
      </c>
      <c r="G532" s="2" t="inlineStr">
        <is>
          <t>Utilities</t>
        </is>
      </c>
      <c r="H532" s="2" t="inlineStr">
        <is>
          <t>$6343.33</t>
        </is>
      </c>
      <c r="I532" s="2" t="n">
        <v>44415.01</v>
      </c>
      <c r="J532" s="2" t="inlineStr">
        <is>
          <t xml:space="preserve">Mobile App </t>
        </is>
      </c>
      <c r="K532" s="2" t="inlineStr">
        <is>
          <t>N</t>
        </is>
      </c>
    </row>
    <row r="533">
      <c r="A533" s="2" t="inlineStr">
        <is>
          <t>TXN100533</t>
        </is>
      </c>
      <c r="B533" s="2" t="inlineStr">
        <is>
          <t xml:space="preserve">  CUST0533 </t>
        </is>
      </c>
      <c r="C533" s="2" t="inlineStr">
        <is>
          <t>2026-06-01 16:56:00</t>
        </is>
      </c>
      <c r="D533" s="2" t="inlineStr">
        <is>
          <t>Male</t>
        </is>
      </c>
      <c r="E533" s="2" t="n">
        <v>48</v>
      </c>
      <c r="F533" s="2" t="inlineStr">
        <is>
          <t>Savings</t>
        </is>
      </c>
      <c r="G533" s="2" t="inlineStr">
        <is>
          <t>GROCERIES</t>
        </is>
      </c>
      <c r="H533" s="2" t="inlineStr">
        <is>
          <t>$625.93</t>
        </is>
      </c>
      <c r="I533" s="2" t="n">
        <v>32352.11</v>
      </c>
      <c r="J533" s="2" t="inlineStr">
        <is>
          <t>Online Banking</t>
        </is>
      </c>
      <c r="K533" s="2" t="inlineStr">
        <is>
          <t>N</t>
        </is>
      </c>
    </row>
    <row r="534">
      <c r="A534" s="2" t="inlineStr">
        <is>
          <t>TXN100534</t>
        </is>
      </c>
      <c r="B534" s="2" t="inlineStr">
        <is>
          <t xml:space="preserve">  CUST0534 </t>
        </is>
      </c>
      <c r="C534" s="2" t="inlineStr">
        <is>
          <t>2026-06-01 04:11:00</t>
        </is>
      </c>
      <c r="D534" s="2" t="inlineStr">
        <is>
          <t>Male</t>
        </is>
      </c>
      <c r="E534" s="2" t="n">
        <v>43</v>
      </c>
      <c r="F534" s="2" t="inlineStr">
        <is>
          <t>Investment</t>
        </is>
      </c>
      <c r="G534" s="2" t="inlineStr">
        <is>
          <t>groceries</t>
        </is>
      </c>
      <c r="H534" s="2" t="inlineStr">
        <is>
          <t>$5292.27</t>
        </is>
      </c>
      <c r="I534" s="2" t="n">
        <v>21023.38</v>
      </c>
      <c r="J534" s="2" t="inlineStr">
        <is>
          <t>Branch Office</t>
        </is>
      </c>
      <c r="K534" s="2" t="inlineStr">
        <is>
          <t>N</t>
        </is>
      </c>
    </row>
    <row r="535">
      <c r="A535" s="2" t="inlineStr">
        <is>
          <t>TXN100535</t>
        </is>
      </c>
      <c r="B535" s="2" t="inlineStr">
        <is>
          <t xml:space="preserve">  CUST0535 </t>
        </is>
      </c>
      <c r="C535" s="2" t="inlineStr">
        <is>
          <t>2026-06-01 23:07:00</t>
        </is>
      </c>
      <c r="D535" s="2" t="n"/>
      <c r="E535" s="2" t="n">
        <v>63</v>
      </c>
      <c r="F535" s="2" t="inlineStr">
        <is>
          <t>Checking</t>
        </is>
      </c>
      <c r="G535" s="2" t="inlineStr">
        <is>
          <t>Utilities</t>
        </is>
      </c>
      <c r="H535" s="2" t="inlineStr">
        <is>
          <t>$1693.52</t>
        </is>
      </c>
      <c r="I535" s="2" t="n">
        <v>8481.690000000001</v>
      </c>
      <c r="J535" s="2" t="inlineStr">
        <is>
          <t>ATM</t>
        </is>
      </c>
      <c r="K535" s="2" t="inlineStr">
        <is>
          <t>N</t>
        </is>
      </c>
    </row>
    <row r="536">
      <c r="A536" s="2" t="inlineStr">
        <is>
          <t>TXN100536</t>
        </is>
      </c>
      <c r="B536" s="2" t="inlineStr">
        <is>
          <t xml:space="preserve">  CUST0536 </t>
        </is>
      </c>
      <c r="C536" s="2" t="inlineStr">
        <is>
          <t>2026-06-01 00:15:00</t>
        </is>
      </c>
      <c r="D536" s="2" t="inlineStr">
        <is>
          <t>M</t>
        </is>
      </c>
      <c r="E536" s="2" t="n">
        <v>28</v>
      </c>
      <c r="F536" s="2" t="inlineStr">
        <is>
          <t>Investment</t>
        </is>
      </c>
      <c r="G536" s="2" t="inlineStr">
        <is>
          <t>Travel</t>
        </is>
      </c>
      <c r="H536" s="2" t="inlineStr">
        <is>
          <t>$1297.42</t>
        </is>
      </c>
      <c r="I536" s="2" t="n">
        <v>31662.25</v>
      </c>
      <c r="J536" s="2" t="inlineStr">
        <is>
          <t xml:space="preserve">Mobile App </t>
        </is>
      </c>
      <c r="K536" s="2" t="inlineStr">
        <is>
          <t>N</t>
        </is>
      </c>
    </row>
    <row r="537">
      <c r="A537" s="2" t="inlineStr">
        <is>
          <t>TXN100537</t>
        </is>
      </c>
      <c r="B537" s="2" t="inlineStr">
        <is>
          <t xml:space="preserve">  CUST0537 </t>
        </is>
      </c>
      <c r="C537" s="2" t="inlineStr">
        <is>
          <t>2026-06-01 18:09:00</t>
        </is>
      </c>
      <c r="D537" s="2" t="inlineStr">
        <is>
          <t>M</t>
        </is>
      </c>
      <c r="E537" s="2" t="n">
        <v>30</v>
      </c>
      <c r="F537" s="2" t="inlineStr">
        <is>
          <t>Checking</t>
        </is>
      </c>
      <c r="G537" s="2" t="inlineStr">
        <is>
          <t>GROCERIES</t>
        </is>
      </c>
      <c r="H537" s="2" t="inlineStr">
        <is>
          <t>$4137.96</t>
        </is>
      </c>
      <c r="I537" s="2" t="n">
        <v>20570.09</v>
      </c>
      <c r="J537" s="2" t="inlineStr">
        <is>
          <t xml:space="preserve">Mobile App </t>
        </is>
      </c>
      <c r="K537" s="2" t="inlineStr">
        <is>
          <t>N</t>
        </is>
      </c>
    </row>
    <row r="538">
      <c r="A538" s="2" t="inlineStr">
        <is>
          <t>TXN100538</t>
        </is>
      </c>
      <c r="B538" s="2" t="inlineStr">
        <is>
          <t xml:space="preserve">  CUST0538 </t>
        </is>
      </c>
      <c r="C538" s="2" t="inlineStr">
        <is>
          <t>2026-06-01 23:46:00</t>
        </is>
      </c>
      <c r="D538" s="2" t="inlineStr">
        <is>
          <t>female</t>
        </is>
      </c>
      <c r="E538" s="2" t="n">
        <v>25</v>
      </c>
      <c r="F538" s="2" t="inlineStr">
        <is>
          <t>Savings</t>
        </is>
      </c>
      <c r="G538" s="2" t="inlineStr">
        <is>
          <t>Utilities</t>
        </is>
      </c>
      <c r="H538" s="2" t="inlineStr">
        <is>
          <t>$4856.14</t>
        </is>
      </c>
      <c r="I538" s="2" t="n">
        <v>23834.97</v>
      </c>
      <c r="J538" s="2" t="inlineStr">
        <is>
          <t>ATM</t>
        </is>
      </c>
      <c r="K538" s="2" t="inlineStr">
        <is>
          <t>N</t>
        </is>
      </c>
    </row>
    <row r="539">
      <c r="A539" s="2" t="inlineStr">
        <is>
          <t>TXN100539</t>
        </is>
      </c>
      <c r="B539" s="2" t="inlineStr">
        <is>
          <t xml:space="preserve">  CUST0539 </t>
        </is>
      </c>
      <c r="C539" s="2" t="inlineStr">
        <is>
          <t>2026-06-01 05:14:00</t>
        </is>
      </c>
      <c r="D539" s="3" t="inlineStr"/>
      <c r="E539" s="2" t="n">
        <v>58</v>
      </c>
      <c r="F539" s="2" t="inlineStr">
        <is>
          <t>Savings</t>
        </is>
      </c>
      <c r="G539" s="2" t="inlineStr">
        <is>
          <t>Travel</t>
        </is>
      </c>
      <c r="H539" s="2" t="inlineStr">
        <is>
          <t>$6565.42</t>
        </is>
      </c>
      <c r="I539" s="2" t="n">
        <v>9503.27</v>
      </c>
      <c r="J539" s="2" t="inlineStr">
        <is>
          <t>Branch Office</t>
        </is>
      </c>
      <c r="K539" s="2" t="inlineStr">
        <is>
          <t>N</t>
        </is>
      </c>
    </row>
    <row r="540">
      <c r="A540" s="2" t="inlineStr">
        <is>
          <t>TXN100540</t>
        </is>
      </c>
      <c r="B540" s="2" t="inlineStr">
        <is>
          <t xml:space="preserve">  CUST0540 </t>
        </is>
      </c>
      <c r="C540" s="2" t="inlineStr">
        <is>
          <t>2026-06-01 05:46:00</t>
        </is>
      </c>
      <c r="D540" s="2" t="inlineStr">
        <is>
          <t>Female</t>
        </is>
      </c>
      <c r="E540" s="2" t="n">
        <v>49</v>
      </c>
      <c r="F540" s="2" t="inlineStr">
        <is>
          <t>Investment</t>
        </is>
      </c>
      <c r="G540" s="2" t="inlineStr">
        <is>
          <t>Travel</t>
        </is>
      </c>
      <c r="H540" s="2" t="inlineStr">
        <is>
          <t>$560.05</t>
        </is>
      </c>
      <c r="I540" s="2" t="n">
        <v>19221.46</v>
      </c>
      <c r="J540" s="2" t="inlineStr">
        <is>
          <t>Online Banking</t>
        </is>
      </c>
      <c r="K540" s="2" t="inlineStr">
        <is>
          <t>N</t>
        </is>
      </c>
    </row>
    <row r="541">
      <c r="A541" s="2" t="inlineStr">
        <is>
          <t>TXN100541</t>
        </is>
      </c>
      <c r="B541" s="2" t="inlineStr">
        <is>
          <t xml:space="preserve">  CUST0541 </t>
        </is>
      </c>
      <c r="C541" s="2" t="inlineStr">
        <is>
          <t>2026-06-01 03:01:00</t>
        </is>
      </c>
      <c r="D541" s="2" t="inlineStr">
        <is>
          <t>F</t>
        </is>
      </c>
      <c r="E541" s="2" t="n">
        <v>53</v>
      </c>
      <c r="F541" s="2" t="inlineStr">
        <is>
          <t>Investment</t>
        </is>
      </c>
      <c r="G541" s="2" t="inlineStr">
        <is>
          <t>Utilities</t>
        </is>
      </c>
      <c r="H541" s="2" t="inlineStr">
        <is>
          <t>$6613.85</t>
        </is>
      </c>
      <c r="I541" s="2" t="n">
        <v>30472.8</v>
      </c>
      <c r="J541" s="2" t="inlineStr">
        <is>
          <t>Online Banking</t>
        </is>
      </c>
      <c r="K541" s="2" t="inlineStr">
        <is>
          <t>N</t>
        </is>
      </c>
    </row>
    <row r="542">
      <c r="A542" s="2" t="inlineStr">
        <is>
          <t>TXN100542</t>
        </is>
      </c>
      <c r="B542" s="2" t="inlineStr">
        <is>
          <t xml:space="preserve">  CUST0542 </t>
        </is>
      </c>
      <c r="C542" s="2" t="inlineStr">
        <is>
          <t>2026-06-01 15:57:00</t>
        </is>
      </c>
      <c r="D542" s="2" t="inlineStr">
        <is>
          <t>M</t>
        </is>
      </c>
      <c r="E542" s="2" t="n">
        <v>70</v>
      </c>
      <c r="F542" s="2" t="inlineStr">
        <is>
          <t>Investment</t>
        </is>
      </c>
      <c r="G542" s="2" t="inlineStr">
        <is>
          <t>Travel</t>
        </is>
      </c>
      <c r="H542" s="2" t="inlineStr">
        <is>
          <t>$6021.54</t>
        </is>
      </c>
      <c r="I542" s="2" t="n">
        <v>5112.9</v>
      </c>
      <c r="J542" s="2" t="inlineStr">
        <is>
          <t>Online Banking</t>
        </is>
      </c>
      <c r="K542" s="2" t="inlineStr">
        <is>
          <t>N</t>
        </is>
      </c>
    </row>
    <row r="543">
      <c r="A543" s="2" t="inlineStr">
        <is>
          <t>TXN100543</t>
        </is>
      </c>
      <c r="B543" s="2" t="inlineStr">
        <is>
          <t xml:space="preserve">  CUST0543 </t>
        </is>
      </c>
      <c r="C543" s="2" t="inlineStr">
        <is>
          <t>2026-06-01 19:34:00</t>
        </is>
      </c>
      <c r="D543" s="2" t="inlineStr">
        <is>
          <t>M</t>
        </is>
      </c>
      <c r="E543" s="2" t="n">
        <v>69</v>
      </c>
      <c r="F543" s="2" t="inlineStr">
        <is>
          <t>Investment</t>
        </is>
      </c>
      <c r="G543" s="2" t="inlineStr">
        <is>
          <t>Utilities</t>
        </is>
      </c>
      <c r="H543" s="2" t="inlineStr">
        <is>
          <t>$4181.13</t>
        </is>
      </c>
      <c r="I543" s="2" t="n">
        <v>18833.68</v>
      </c>
      <c r="J543" s="2" t="inlineStr">
        <is>
          <t xml:space="preserve">Mobile App </t>
        </is>
      </c>
      <c r="K543" s="2" t="inlineStr">
        <is>
          <t>N</t>
        </is>
      </c>
    </row>
    <row r="544">
      <c r="A544" s="2" t="inlineStr">
        <is>
          <t>TXN100544</t>
        </is>
      </c>
      <c r="B544" s="2" t="inlineStr">
        <is>
          <t xml:space="preserve">  CUST0544 </t>
        </is>
      </c>
      <c r="C544" s="2" t="inlineStr">
        <is>
          <t>2026-06-01 22:33:00</t>
        </is>
      </c>
      <c r="D544" s="3" t="inlineStr"/>
      <c r="E544" s="2" t="n">
        <v>34</v>
      </c>
      <c r="F544" s="2" t="inlineStr">
        <is>
          <t>Checking</t>
        </is>
      </c>
      <c r="G544" s="2" t="inlineStr">
        <is>
          <t>Utilities</t>
        </is>
      </c>
      <c r="H544" s="2" t="inlineStr">
        <is>
          <t>$2810.64</t>
        </is>
      </c>
      <c r="I544" s="2" t="n">
        <v>40328.74</v>
      </c>
      <c r="J544" s="2" t="inlineStr">
        <is>
          <t xml:space="preserve">Mobile App </t>
        </is>
      </c>
      <c r="K544" s="2" t="inlineStr">
        <is>
          <t>N</t>
        </is>
      </c>
    </row>
    <row r="545">
      <c r="A545" s="2" t="inlineStr">
        <is>
          <t>TXN100545</t>
        </is>
      </c>
      <c r="B545" s="2" t="inlineStr">
        <is>
          <t xml:space="preserve">  CUST0545 </t>
        </is>
      </c>
      <c r="C545" s="2" t="inlineStr">
        <is>
          <t>2026-06-01 13:08:00</t>
        </is>
      </c>
      <c r="D545" s="2" t="inlineStr">
        <is>
          <t>female</t>
        </is>
      </c>
      <c r="E545" s="2" t="n">
        <v>50</v>
      </c>
      <c r="F545" s="2" t="inlineStr">
        <is>
          <t>Savings</t>
        </is>
      </c>
      <c r="G545" s="2" t="inlineStr">
        <is>
          <t>groceries</t>
        </is>
      </c>
      <c r="H545" s="2" t="inlineStr">
        <is>
          <t>$2273.3</t>
        </is>
      </c>
      <c r="I545" s="2" t="n">
        <v>43899.93</v>
      </c>
      <c r="J545" s="2" t="inlineStr">
        <is>
          <t>ATM</t>
        </is>
      </c>
      <c r="K545" s="2" t="inlineStr">
        <is>
          <t>N</t>
        </is>
      </c>
    </row>
    <row r="546">
      <c r="A546" s="2" t="inlineStr">
        <is>
          <t>TXN100546</t>
        </is>
      </c>
      <c r="B546" s="2" t="inlineStr">
        <is>
          <t xml:space="preserve">  CUST0546 </t>
        </is>
      </c>
      <c r="C546" s="2" t="inlineStr">
        <is>
          <t>2026-06-01 08:12:00</t>
        </is>
      </c>
      <c r="D546" s="2" t="inlineStr">
        <is>
          <t>M</t>
        </is>
      </c>
      <c r="E546" s="2" t="n">
        <v>65</v>
      </c>
      <c r="F546" s="2" t="inlineStr">
        <is>
          <t>Investment</t>
        </is>
      </c>
      <c r="G546" s="2" t="inlineStr">
        <is>
          <t>groceries</t>
        </is>
      </c>
      <c r="H546" s="2" t="inlineStr">
        <is>
          <t>$4628.12</t>
        </is>
      </c>
      <c r="I546" s="2" t="n">
        <v>6332.52</v>
      </c>
      <c r="J546" s="2" t="inlineStr">
        <is>
          <t xml:space="preserve">Mobile App </t>
        </is>
      </c>
      <c r="K546" s="2" t="inlineStr">
        <is>
          <t>N</t>
        </is>
      </c>
    </row>
    <row r="547">
      <c r="A547" s="2" t="inlineStr">
        <is>
          <t>TXN100547</t>
        </is>
      </c>
      <c r="B547" s="2" t="inlineStr">
        <is>
          <t xml:space="preserve">  CUST0547 </t>
        </is>
      </c>
      <c r="C547" s="2" t="inlineStr">
        <is>
          <t>2026-06-01 12:41:00</t>
        </is>
      </c>
      <c r="D547" s="2" t="inlineStr">
        <is>
          <t>F</t>
        </is>
      </c>
      <c r="E547" s="2" t="n">
        <v>64</v>
      </c>
      <c r="F547" s="2" t="inlineStr">
        <is>
          <t>Checking</t>
        </is>
      </c>
      <c r="G547" s="2" t="inlineStr">
        <is>
          <t>Utilities</t>
        </is>
      </c>
      <c r="H547" s="2" t="inlineStr">
        <is>
          <t>$2904.54</t>
        </is>
      </c>
      <c r="I547" s="2" t="n">
        <v>8161.54</v>
      </c>
      <c r="J547" s="2" t="inlineStr">
        <is>
          <t>Branch Office</t>
        </is>
      </c>
      <c r="K547" s="2" t="inlineStr">
        <is>
          <t>N</t>
        </is>
      </c>
    </row>
    <row r="548">
      <c r="A548" s="2" t="inlineStr">
        <is>
          <t>TXN100548</t>
        </is>
      </c>
      <c r="B548" s="2" t="inlineStr">
        <is>
          <t xml:space="preserve">  CUST0548 </t>
        </is>
      </c>
      <c r="C548" s="2" t="inlineStr">
        <is>
          <t>2026-06-01 08:54:00</t>
        </is>
      </c>
      <c r="D548" s="3" t="inlineStr"/>
      <c r="E548" s="2" t="n">
        <v>56</v>
      </c>
      <c r="F548" s="2" t="inlineStr">
        <is>
          <t>Checking</t>
        </is>
      </c>
      <c r="G548" s="2" t="inlineStr">
        <is>
          <t>Travel</t>
        </is>
      </c>
      <c r="H548" s="2" t="inlineStr">
        <is>
          <t>$2211.73</t>
        </is>
      </c>
      <c r="I548" s="2" t="n">
        <v>34189.98</v>
      </c>
      <c r="J548" s="2" t="inlineStr">
        <is>
          <t>Online Banking</t>
        </is>
      </c>
      <c r="K548" s="2" t="inlineStr">
        <is>
          <t>N</t>
        </is>
      </c>
    </row>
    <row r="549">
      <c r="A549" s="2" t="inlineStr">
        <is>
          <t>TXN100549</t>
        </is>
      </c>
      <c r="B549" s="2" t="inlineStr">
        <is>
          <t xml:space="preserve">  CUST0549 </t>
        </is>
      </c>
      <c r="C549" s="2" t="inlineStr">
        <is>
          <t>2026-06-01 13:35:00</t>
        </is>
      </c>
      <c r="D549" s="2" t="n"/>
      <c r="E549" s="2" t="n">
        <v>31</v>
      </c>
      <c r="F549" s="2" t="inlineStr">
        <is>
          <t>Checking</t>
        </is>
      </c>
      <c r="G549" s="2" t="inlineStr">
        <is>
          <t>Travel</t>
        </is>
      </c>
      <c r="H549" s="2" t="inlineStr">
        <is>
          <t>$4443.74</t>
        </is>
      </c>
      <c r="I549" s="2" t="n">
        <v>13061.99</v>
      </c>
      <c r="J549" s="2" t="inlineStr">
        <is>
          <t>Branch Office</t>
        </is>
      </c>
      <c r="K549" s="2" t="inlineStr">
        <is>
          <t>N</t>
        </is>
      </c>
    </row>
    <row r="550">
      <c r="A550" s="2" t="inlineStr">
        <is>
          <t>TXN100550</t>
        </is>
      </c>
      <c r="B550" s="2" t="inlineStr">
        <is>
          <t xml:space="preserve">  CUST0550 </t>
        </is>
      </c>
      <c r="C550" s="2" t="inlineStr">
        <is>
          <t>2026-06-01 18:22:00</t>
        </is>
      </c>
      <c r="D550" s="3" t="inlineStr"/>
      <c r="E550" s="2" t="n">
        <v>67</v>
      </c>
      <c r="F550" s="2" t="inlineStr">
        <is>
          <t>Savings</t>
        </is>
      </c>
      <c r="G550" s="2" t="inlineStr">
        <is>
          <t>groceries</t>
        </is>
      </c>
      <c r="H550" s="2" t="inlineStr">
        <is>
          <t>$5985.04</t>
        </is>
      </c>
      <c r="I550" s="2" t="n">
        <v>22606.45</v>
      </c>
      <c r="J550" s="2" t="inlineStr">
        <is>
          <t>Online Banking</t>
        </is>
      </c>
      <c r="K550" s="2" t="inlineStr">
        <is>
          <t>N</t>
        </is>
      </c>
    </row>
    <row r="551">
      <c r="A551" s="2" t="inlineStr">
        <is>
          <t>TXN100551</t>
        </is>
      </c>
      <c r="B551" s="2" t="inlineStr">
        <is>
          <t xml:space="preserve">  CUST0551 </t>
        </is>
      </c>
      <c r="C551" s="2" t="inlineStr">
        <is>
          <t>2026-06-01 03:13:00</t>
        </is>
      </c>
      <c r="D551" s="3" t="inlineStr"/>
      <c r="E551" s="2" t="n">
        <v>70</v>
      </c>
      <c r="F551" s="2" t="inlineStr">
        <is>
          <t>Checking</t>
        </is>
      </c>
      <c r="G551" s="2" t="inlineStr">
        <is>
          <t>Travel</t>
        </is>
      </c>
      <c r="H551" s="2" t="inlineStr">
        <is>
          <t>$4916.06</t>
        </is>
      </c>
      <c r="I551" s="2" t="n">
        <v>34385.94</v>
      </c>
      <c r="J551" s="2" t="inlineStr">
        <is>
          <t xml:space="preserve">Mobile App </t>
        </is>
      </c>
      <c r="K551" s="2" t="inlineStr">
        <is>
          <t>N</t>
        </is>
      </c>
    </row>
    <row r="552">
      <c r="A552" s="2" t="inlineStr">
        <is>
          <t>TXN100552</t>
        </is>
      </c>
      <c r="B552" s="2" t="inlineStr">
        <is>
          <t xml:space="preserve">  CUST0552 </t>
        </is>
      </c>
      <c r="C552" s="2" t="inlineStr">
        <is>
          <t>2026-06-01 05:24:00</t>
        </is>
      </c>
      <c r="D552" s="2" t="inlineStr">
        <is>
          <t>M</t>
        </is>
      </c>
      <c r="E552" s="2" t="n">
        <v>71</v>
      </c>
      <c r="F552" s="2" t="inlineStr">
        <is>
          <t>Savings</t>
        </is>
      </c>
      <c r="G552" s="2" t="inlineStr">
        <is>
          <t>GROCERIES</t>
        </is>
      </c>
      <c r="H552" s="2" t="inlineStr">
        <is>
          <t>$3778.63</t>
        </is>
      </c>
      <c r="I552" s="2" t="n">
        <v>30212.15</v>
      </c>
      <c r="J552" s="2" t="inlineStr">
        <is>
          <t xml:space="preserve">Mobile App </t>
        </is>
      </c>
      <c r="K552" s="2" t="inlineStr">
        <is>
          <t>N</t>
        </is>
      </c>
    </row>
    <row r="553">
      <c r="A553" s="2" t="inlineStr">
        <is>
          <t>TXN100553</t>
        </is>
      </c>
      <c r="B553" s="2" t="inlineStr">
        <is>
          <t xml:space="preserve">  CUST0553 </t>
        </is>
      </c>
      <c r="C553" s="2" t="inlineStr">
        <is>
          <t>2026-06-01 02:16:00</t>
        </is>
      </c>
      <c r="D553" s="2" t="inlineStr">
        <is>
          <t>F</t>
        </is>
      </c>
      <c r="E553" s="2" t="n">
        <v>43</v>
      </c>
      <c r="F553" s="2" t="inlineStr">
        <is>
          <t>Savings</t>
        </is>
      </c>
      <c r="G553" s="2" t="inlineStr">
        <is>
          <t>Travel</t>
        </is>
      </c>
      <c r="H553" s="2" t="inlineStr">
        <is>
          <t>$311.67</t>
        </is>
      </c>
      <c r="I553" s="2" t="n">
        <v>19524.14</v>
      </c>
      <c r="J553" s="2" t="inlineStr">
        <is>
          <t>ATM</t>
        </is>
      </c>
      <c r="K553" s="2" t="inlineStr">
        <is>
          <t>N</t>
        </is>
      </c>
    </row>
    <row r="554">
      <c r="A554" s="2" t="inlineStr">
        <is>
          <t>TXN100554</t>
        </is>
      </c>
      <c r="B554" s="2" t="inlineStr">
        <is>
          <t xml:space="preserve">  CUST0554 </t>
        </is>
      </c>
      <c r="C554" s="2" t="inlineStr">
        <is>
          <t>2026-06-01 19:41:00</t>
        </is>
      </c>
      <c r="D554" s="2" t="inlineStr">
        <is>
          <t>female</t>
        </is>
      </c>
      <c r="E554" s="2" t="n">
        <v>65</v>
      </c>
      <c r="F554" s="2" t="inlineStr">
        <is>
          <t>Investment</t>
        </is>
      </c>
      <c r="G554" s="2" t="inlineStr">
        <is>
          <t>groceries</t>
        </is>
      </c>
      <c r="H554" s="2" t="inlineStr">
        <is>
          <t>$7566.27</t>
        </is>
      </c>
      <c r="I554" s="2" t="n">
        <v>41101.32</v>
      </c>
      <c r="J554" s="2" t="inlineStr">
        <is>
          <t>ATM</t>
        </is>
      </c>
      <c r="K554" s="2" t="inlineStr">
        <is>
          <t>N</t>
        </is>
      </c>
    </row>
    <row r="555">
      <c r="A555" s="2" t="inlineStr">
        <is>
          <t>TXN100555</t>
        </is>
      </c>
      <c r="B555" s="2" t="inlineStr">
        <is>
          <t xml:space="preserve">  CUST0555 </t>
        </is>
      </c>
      <c r="C555" s="2" t="inlineStr">
        <is>
          <t>2026-06-01 06:54:00</t>
        </is>
      </c>
      <c r="D555" s="2" t="inlineStr">
        <is>
          <t>female</t>
        </is>
      </c>
      <c r="E555" s="2" t="n">
        <v>32</v>
      </c>
      <c r="F555" s="2" t="inlineStr">
        <is>
          <t>Savings</t>
        </is>
      </c>
      <c r="G555" s="2" t="inlineStr">
        <is>
          <t>Travel</t>
        </is>
      </c>
      <c r="H555" s="2" t="inlineStr">
        <is>
          <t>$4089.28</t>
        </is>
      </c>
      <c r="I555" s="2" t="n">
        <v>35073.26</v>
      </c>
      <c r="J555" s="2" t="inlineStr">
        <is>
          <t>Online Banking</t>
        </is>
      </c>
      <c r="K555" s="2" t="inlineStr">
        <is>
          <t>N</t>
        </is>
      </c>
    </row>
    <row r="556">
      <c r="A556" s="2" t="inlineStr">
        <is>
          <t>TXN100556</t>
        </is>
      </c>
      <c r="B556" s="2" t="inlineStr">
        <is>
          <t xml:space="preserve">  CUST0556 </t>
        </is>
      </c>
      <c r="C556" s="2" t="inlineStr">
        <is>
          <t>2026-06-01 21:02:00</t>
        </is>
      </c>
      <c r="D556" s="2" t="inlineStr">
        <is>
          <t>Female</t>
        </is>
      </c>
      <c r="E556" s="2" t="n">
        <v>35</v>
      </c>
      <c r="F556" s="2" t="inlineStr">
        <is>
          <t>Investment</t>
        </is>
      </c>
      <c r="G556" s="2" t="inlineStr">
        <is>
          <t>groceries</t>
        </is>
      </c>
      <c r="H556" s="2" t="inlineStr">
        <is>
          <t>$7805.41</t>
        </is>
      </c>
      <c r="I556" s="2" t="n">
        <v>4798.72</v>
      </c>
      <c r="J556" s="2" t="inlineStr">
        <is>
          <t>Branch Office</t>
        </is>
      </c>
      <c r="K556" s="2" t="inlineStr">
        <is>
          <t>Y</t>
        </is>
      </c>
    </row>
    <row r="557">
      <c r="A557" s="2" t="inlineStr">
        <is>
          <t>TXN100557</t>
        </is>
      </c>
      <c r="B557" s="2" t="inlineStr">
        <is>
          <t xml:space="preserve">  CUST0557 </t>
        </is>
      </c>
      <c r="C557" s="2" t="inlineStr">
        <is>
          <t>2026-06-01 11:42:00</t>
        </is>
      </c>
      <c r="D557" s="3" t="inlineStr"/>
      <c r="E557" s="2" t="n">
        <v>45</v>
      </c>
      <c r="F557" s="2" t="inlineStr">
        <is>
          <t>Investment</t>
        </is>
      </c>
      <c r="G557" s="2" t="inlineStr">
        <is>
          <t>GROCERIES</t>
        </is>
      </c>
      <c r="H557" s="2" t="inlineStr">
        <is>
          <t>$4146.76</t>
        </is>
      </c>
      <c r="I557" s="2" t="n">
        <v>36977.81</v>
      </c>
      <c r="J557" s="2" t="inlineStr">
        <is>
          <t xml:space="preserve">Mobile App </t>
        </is>
      </c>
      <c r="K557" s="2" t="inlineStr">
        <is>
          <t>N</t>
        </is>
      </c>
    </row>
    <row r="558">
      <c r="A558" s="2" t="inlineStr">
        <is>
          <t>TXN100558</t>
        </is>
      </c>
      <c r="B558" s="2" t="inlineStr">
        <is>
          <t xml:space="preserve">  CUST0558 </t>
        </is>
      </c>
      <c r="C558" s="2" t="inlineStr">
        <is>
          <t>2026-06-01 02:35:00</t>
        </is>
      </c>
      <c r="D558" s="2" t="inlineStr">
        <is>
          <t>female</t>
        </is>
      </c>
      <c r="E558" s="2" t="n">
        <v>66</v>
      </c>
      <c r="F558" s="2" t="inlineStr">
        <is>
          <t>Investment</t>
        </is>
      </c>
      <c r="G558" s="2" t="inlineStr">
        <is>
          <t>Travel</t>
        </is>
      </c>
      <c r="H558" s="2" t="inlineStr">
        <is>
          <t>$2791.28</t>
        </is>
      </c>
      <c r="I558" s="2" t="n">
        <v>48182.74</v>
      </c>
      <c r="J558" s="2" t="inlineStr">
        <is>
          <t>Branch Office</t>
        </is>
      </c>
      <c r="K558" s="2" t="inlineStr">
        <is>
          <t>N</t>
        </is>
      </c>
    </row>
    <row r="559">
      <c r="A559" s="2" t="inlineStr">
        <is>
          <t>TXN100559</t>
        </is>
      </c>
      <c r="B559" s="2" t="inlineStr">
        <is>
          <t xml:space="preserve">  CUST0559 </t>
        </is>
      </c>
      <c r="C559" s="2" t="inlineStr">
        <is>
          <t>2026-06-01 07:38:00</t>
        </is>
      </c>
      <c r="D559" s="2" t="inlineStr">
        <is>
          <t>F</t>
        </is>
      </c>
      <c r="E559" s="2" t="n">
        <v>49</v>
      </c>
      <c r="F559" s="2" t="inlineStr">
        <is>
          <t>Checking</t>
        </is>
      </c>
      <c r="G559" s="2" t="inlineStr">
        <is>
          <t>Travel</t>
        </is>
      </c>
      <c r="H559" s="2" t="inlineStr">
        <is>
          <t>$47.17</t>
        </is>
      </c>
      <c r="I559" s="2" t="n">
        <v>9164.219999999999</v>
      </c>
      <c r="J559" s="2" t="inlineStr">
        <is>
          <t xml:space="preserve">Mobile App </t>
        </is>
      </c>
      <c r="K559" s="2" t="inlineStr">
        <is>
          <t>N</t>
        </is>
      </c>
    </row>
    <row r="560">
      <c r="A560" s="2" t="inlineStr">
        <is>
          <t>TXN100560</t>
        </is>
      </c>
      <c r="B560" s="2" t="inlineStr">
        <is>
          <t xml:space="preserve">  CUST0560 </t>
        </is>
      </c>
      <c r="C560" s="2" t="inlineStr">
        <is>
          <t>2026-06-01 17:04:00</t>
        </is>
      </c>
      <c r="D560" s="2" t="inlineStr">
        <is>
          <t>female</t>
        </is>
      </c>
      <c r="E560" s="2" t="n">
        <v>41</v>
      </c>
      <c r="F560" s="2" t="inlineStr">
        <is>
          <t>Savings</t>
        </is>
      </c>
      <c r="G560" s="2" t="inlineStr">
        <is>
          <t>Travel</t>
        </is>
      </c>
      <c r="H560" s="2" t="inlineStr">
        <is>
          <t>$7654.11</t>
        </is>
      </c>
      <c r="I560" s="2" t="n">
        <v>43867.6</v>
      </c>
      <c r="J560" s="2" t="inlineStr">
        <is>
          <t>Branch Office</t>
        </is>
      </c>
      <c r="K560" s="2" t="inlineStr">
        <is>
          <t>Y</t>
        </is>
      </c>
    </row>
    <row r="561">
      <c r="A561" s="2" t="inlineStr">
        <is>
          <t>TXN100561</t>
        </is>
      </c>
      <c r="B561" s="2" t="inlineStr">
        <is>
          <t xml:space="preserve">  CUST0561 </t>
        </is>
      </c>
      <c r="C561" s="2" t="inlineStr">
        <is>
          <t>2026-06-01 12:36:00</t>
        </is>
      </c>
      <c r="D561" s="2" t="n"/>
      <c r="E561" s="2" t="n">
        <v>69</v>
      </c>
      <c r="F561" s="2" t="inlineStr">
        <is>
          <t>Savings</t>
        </is>
      </c>
      <c r="G561" s="2" t="inlineStr">
        <is>
          <t>Entertainment</t>
        </is>
      </c>
      <c r="H561" s="2" t="inlineStr">
        <is>
          <t>$7690.3</t>
        </is>
      </c>
      <c r="I561" s="2" t="n">
        <v>23213</v>
      </c>
      <c r="J561" s="2" t="inlineStr">
        <is>
          <t>ATM</t>
        </is>
      </c>
      <c r="K561" s="2" t="inlineStr">
        <is>
          <t>Y</t>
        </is>
      </c>
    </row>
    <row r="562">
      <c r="A562" s="2" t="inlineStr">
        <is>
          <t>TXN100562</t>
        </is>
      </c>
      <c r="B562" s="2" t="inlineStr">
        <is>
          <t xml:space="preserve">  CUST0562 </t>
        </is>
      </c>
      <c r="C562" s="2" t="inlineStr">
        <is>
          <t>2026-06-01 00:30:00</t>
        </is>
      </c>
      <c r="D562" s="2" t="inlineStr">
        <is>
          <t>MALE</t>
        </is>
      </c>
      <c r="E562" s="2" t="n">
        <v>36</v>
      </c>
      <c r="F562" s="2" t="inlineStr">
        <is>
          <t>Savings</t>
        </is>
      </c>
      <c r="G562" s="2" t="inlineStr">
        <is>
          <t>Utilities</t>
        </is>
      </c>
      <c r="H562" s="2" t="inlineStr">
        <is>
          <t>$5072.96</t>
        </is>
      </c>
      <c r="I562" s="2" t="n">
        <v>49712.8</v>
      </c>
      <c r="J562" s="2" t="inlineStr">
        <is>
          <t>Online Banking</t>
        </is>
      </c>
      <c r="K562" s="2" t="inlineStr">
        <is>
          <t>N</t>
        </is>
      </c>
    </row>
    <row r="563">
      <c r="A563" s="2" t="inlineStr">
        <is>
          <t>TXN100563</t>
        </is>
      </c>
      <c r="B563" s="2" t="inlineStr">
        <is>
          <t xml:space="preserve">  CUST0563 </t>
        </is>
      </c>
      <c r="C563" s="2" t="inlineStr">
        <is>
          <t>2026-06-01 10:26:00</t>
        </is>
      </c>
      <c r="D563" s="2" t="inlineStr">
        <is>
          <t>Female</t>
        </is>
      </c>
      <c r="E563" s="2" t="n">
        <v>53</v>
      </c>
      <c r="F563" s="2" t="inlineStr">
        <is>
          <t>Investment</t>
        </is>
      </c>
      <c r="G563" s="2" t="inlineStr">
        <is>
          <t>groceries</t>
        </is>
      </c>
      <c r="H563" s="2" t="inlineStr">
        <is>
          <t>$5609.54</t>
        </is>
      </c>
      <c r="I563" s="2" t="n">
        <v>13535.81</v>
      </c>
      <c r="J563" s="2" t="inlineStr">
        <is>
          <t>Branch Office</t>
        </is>
      </c>
      <c r="K563" s="2" t="inlineStr">
        <is>
          <t>N</t>
        </is>
      </c>
    </row>
    <row r="564">
      <c r="A564" s="2" t="inlineStr">
        <is>
          <t>TXN100564</t>
        </is>
      </c>
      <c r="B564" s="2" t="inlineStr">
        <is>
          <t xml:space="preserve">  CUST0564 </t>
        </is>
      </c>
      <c r="C564" s="2" t="inlineStr">
        <is>
          <t>2026-06-01 02:25:00</t>
        </is>
      </c>
      <c r="D564" s="2" t="inlineStr">
        <is>
          <t>Female</t>
        </is>
      </c>
      <c r="E564" s="2" t="n">
        <v>24</v>
      </c>
      <c r="F564" s="2" t="inlineStr">
        <is>
          <t>Investment</t>
        </is>
      </c>
      <c r="G564" s="2" t="inlineStr">
        <is>
          <t>GROCERIES</t>
        </is>
      </c>
      <c r="H564" s="2" t="inlineStr">
        <is>
          <t>$3817.68</t>
        </is>
      </c>
      <c r="I564" s="2" t="n">
        <v>18000.13</v>
      </c>
      <c r="J564" s="2" t="inlineStr">
        <is>
          <t>Branch Office</t>
        </is>
      </c>
      <c r="K564" s="2" t="inlineStr">
        <is>
          <t>N</t>
        </is>
      </c>
    </row>
    <row r="565">
      <c r="A565" s="2" t="inlineStr">
        <is>
          <t>TXN100565</t>
        </is>
      </c>
      <c r="B565" s="2" t="inlineStr">
        <is>
          <t xml:space="preserve">  CUST0565 </t>
        </is>
      </c>
      <c r="C565" s="2" t="inlineStr">
        <is>
          <t>2026-06-01 05:47:00</t>
        </is>
      </c>
      <c r="D565" s="2" t="inlineStr">
        <is>
          <t>F</t>
        </is>
      </c>
      <c r="E565" s="2" t="n">
        <v>51</v>
      </c>
      <c r="F565" s="2" t="inlineStr">
        <is>
          <t>Investment</t>
        </is>
      </c>
      <c r="G565" s="2" t="inlineStr">
        <is>
          <t>GROCERIES</t>
        </is>
      </c>
      <c r="H565" s="2" t="inlineStr">
        <is>
          <t>$1886.54</t>
        </is>
      </c>
      <c r="I565" s="2" t="n">
        <v>12481.8</v>
      </c>
      <c r="J565" s="2" t="inlineStr">
        <is>
          <t>Branch Office</t>
        </is>
      </c>
      <c r="K565" s="2" t="inlineStr">
        <is>
          <t>N</t>
        </is>
      </c>
    </row>
    <row r="566">
      <c r="A566" s="2" t="inlineStr">
        <is>
          <t>TXN100566</t>
        </is>
      </c>
      <c r="B566" s="2" t="inlineStr">
        <is>
          <t xml:space="preserve">  CUST0566 </t>
        </is>
      </c>
      <c r="C566" s="2" t="inlineStr">
        <is>
          <t>2026-06-01 06:14:00</t>
        </is>
      </c>
      <c r="D566" s="2" t="inlineStr">
        <is>
          <t>F</t>
        </is>
      </c>
      <c r="E566" s="2" t="n">
        <v>73</v>
      </c>
      <c r="F566" s="2" t="inlineStr">
        <is>
          <t>Savings</t>
        </is>
      </c>
      <c r="G566" s="2" t="inlineStr">
        <is>
          <t>Travel</t>
        </is>
      </c>
      <c r="H566" s="2" t="inlineStr">
        <is>
          <t>$2854.66</t>
        </is>
      </c>
      <c r="I566" s="2" t="n">
        <v>39057.45</v>
      </c>
      <c r="J566" s="2" t="inlineStr">
        <is>
          <t xml:space="preserve">Mobile App </t>
        </is>
      </c>
      <c r="K566" s="2" t="inlineStr">
        <is>
          <t>N</t>
        </is>
      </c>
    </row>
    <row r="567">
      <c r="A567" s="2" t="inlineStr">
        <is>
          <t>TXN100567</t>
        </is>
      </c>
      <c r="B567" s="2" t="inlineStr">
        <is>
          <t xml:space="preserve">  CUST0567 </t>
        </is>
      </c>
      <c r="C567" s="2" t="inlineStr">
        <is>
          <t>2026-06-01 02:43:00</t>
        </is>
      </c>
      <c r="D567" s="2" t="n"/>
      <c r="E567" s="2" t="n">
        <v>59</v>
      </c>
      <c r="F567" s="2" t="inlineStr">
        <is>
          <t>Savings</t>
        </is>
      </c>
      <c r="G567" s="2" t="inlineStr">
        <is>
          <t>Travel</t>
        </is>
      </c>
      <c r="H567" s="2" t="inlineStr">
        <is>
          <t>$7664.36</t>
        </is>
      </c>
      <c r="I567" s="2" t="n">
        <v>42476.52</v>
      </c>
      <c r="J567" s="2" t="inlineStr">
        <is>
          <t>Branch Office</t>
        </is>
      </c>
      <c r="K567" s="2" t="inlineStr">
        <is>
          <t>Y</t>
        </is>
      </c>
    </row>
    <row r="568">
      <c r="A568" s="2" t="inlineStr">
        <is>
          <t>TXN100568</t>
        </is>
      </c>
      <c r="B568" s="2" t="inlineStr">
        <is>
          <t xml:space="preserve">  CUST0568 </t>
        </is>
      </c>
      <c r="C568" s="2" t="inlineStr">
        <is>
          <t>2026-06-01 15:57:00</t>
        </is>
      </c>
      <c r="D568" s="2" t="inlineStr">
        <is>
          <t>female</t>
        </is>
      </c>
      <c r="E568" s="2" t="n">
        <v>51</v>
      </c>
      <c r="F568" s="2" t="inlineStr">
        <is>
          <t>Savings</t>
        </is>
      </c>
      <c r="G568" s="2" t="inlineStr">
        <is>
          <t>Travel</t>
        </is>
      </c>
      <c r="H568" s="2" t="inlineStr">
        <is>
          <t>$2249.33</t>
        </is>
      </c>
      <c r="I568" s="2" t="n">
        <v>11493.59</v>
      </c>
      <c r="J568" s="2" t="inlineStr">
        <is>
          <t>Online Banking</t>
        </is>
      </c>
      <c r="K568" s="2" t="inlineStr">
        <is>
          <t>N</t>
        </is>
      </c>
    </row>
    <row r="569">
      <c r="A569" s="2" t="inlineStr">
        <is>
          <t>TXN100569</t>
        </is>
      </c>
      <c r="B569" s="2" t="inlineStr">
        <is>
          <t xml:space="preserve">  CUST0569 </t>
        </is>
      </c>
      <c r="C569" s="2" t="inlineStr">
        <is>
          <t>2026-06-01 01:33:00</t>
        </is>
      </c>
      <c r="D569" s="3" t="inlineStr"/>
      <c r="E569" s="2" t="n">
        <v>50</v>
      </c>
      <c r="F569" s="2" t="inlineStr">
        <is>
          <t>Investment</t>
        </is>
      </c>
      <c r="G569" s="2" t="inlineStr">
        <is>
          <t>groceries</t>
        </is>
      </c>
      <c r="H569" s="2" t="inlineStr">
        <is>
          <t>$4024.78</t>
        </is>
      </c>
      <c r="I569" s="2" t="n">
        <v>19988.99</v>
      </c>
      <c r="J569" s="2" t="inlineStr">
        <is>
          <t>Online Banking</t>
        </is>
      </c>
      <c r="K569" s="2" t="inlineStr">
        <is>
          <t>N</t>
        </is>
      </c>
    </row>
    <row r="570">
      <c r="A570" s="2" t="inlineStr">
        <is>
          <t>TXN100570</t>
        </is>
      </c>
      <c r="B570" s="2" t="inlineStr">
        <is>
          <t xml:space="preserve">  CUST0570 </t>
        </is>
      </c>
      <c r="C570" s="2" t="inlineStr">
        <is>
          <t>2026-06-01 14:07:00</t>
        </is>
      </c>
      <c r="D570" s="2" t="n"/>
      <c r="E570" s="2" t="n">
        <v>40</v>
      </c>
      <c r="F570" s="2" t="inlineStr">
        <is>
          <t>Investment</t>
        </is>
      </c>
      <c r="G570" s="2" t="inlineStr">
        <is>
          <t>groceries</t>
        </is>
      </c>
      <c r="H570" s="2" t="inlineStr">
        <is>
          <t>$104.44</t>
        </is>
      </c>
      <c r="I570" s="2" t="n">
        <v>10932.24</v>
      </c>
      <c r="J570" s="2" t="inlineStr">
        <is>
          <t xml:space="preserve">Mobile App </t>
        </is>
      </c>
      <c r="K570" s="2" t="inlineStr">
        <is>
          <t>N</t>
        </is>
      </c>
    </row>
    <row r="571">
      <c r="A571" s="2" t="inlineStr">
        <is>
          <t>TXN100571</t>
        </is>
      </c>
      <c r="B571" s="2" t="inlineStr">
        <is>
          <t xml:space="preserve">  CUST0571 </t>
        </is>
      </c>
      <c r="C571" s="2" t="inlineStr">
        <is>
          <t>2026-06-01 10:23:00</t>
        </is>
      </c>
      <c r="D571" s="2" t="inlineStr">
        <is>
          <t>female</t>
        </is>
      </c>
      <c r="E571" s="2" t="n">
        <v>31</v>
      </c>
      <c r="F571" s="2" t="inlineStr">
        <is>
          <t>Investment</t>
        </is>
      </c>
      <c r="G571" s="2" t="inlineStr">
        <is>
          <t>Entertainment</t>
        </is>
      </c>
      <c r="H571" s="2" t="inlineStr">
        <is>
          <t>$1904.74</t>
        </is>
      </c>
      <c r="I571" s="2" t="n">
        <v>23831.6</v>
      </c>
      <c r="J571" s="2" t="inlineStr">
        <is>
          <t>Branch Office</t>
        </is>
      </c>
      <c r="K571" s="2" t="inlineStr">
        <is>
          <t>N</t>
        </is>
      </c>
    </row>
    <row r="572">
      <c r="A572" s="2" t="inlineStr">
        <is>
          <t>TXN100572</t>
        </is>
      </c>
      <c r="B572" s="2" t="inlineStr">
        <is>
          <t xml:space="preserve">  CUST0572 </t>
        </is>
      </c>
      <c r="C572" s="2" t="inlineStr">
        <is>
          <t>2026-06-01 11:11:00</t>
        </is>
      </c>
      <c r="D572" s="2" t="n"/>
      <c r="E572" s="2" t="n">
        <v>47</v>
      </c>
      <c r="F572" s="2" t="inlineStr">
        <is>
          <t>Savings</t>
        </is>
      </c>
      <c r="G572" s="2" t="inlineStr">
        <is>
          <t>Utilities</t>
        </is>
      </c>
      <c r="H572" s="2" t="inlineStr">
        <is>
          <t>$5608.69</t>
        </is>
      </c>
      <c r="I572" s="2" t="n">
        <v>18929.33</v>
      </c>
      <c r="J572" s="2" t="inlineStr">
        <is>
          <t>ATM</t>
        </is>
      </c>
      <c r="K572" s="2" t="inlineStr">
        <is>
          <t>N</t>
        </is>
      </c>
    </row>
    <row r="573">
      <c r="A573" s="2" t="inlineStr">
        <is>
          <t>TXN100573</t>
        </is>
      </c>
      <c r="B573" s="2" t="inlineStr">
        <is>
          <t xml:space="preserve">  CUST0573 </t>
        </is>
      </c>
      <c r="C573" s="2" t="inlineStr">
        <is>
          <t>2026-06-01 08:28:00</t>
        </is>
      </c>
      <c r="D573" s="2" t="inlineStr">
        <is>
          <t>Male</t>
        </is>
      </c>
      <c r="E573" s="2" t="n">
        <v>56</v>
      </c>
      <c r="F573" s="2" t="inlineStr">
        <is>
          <t>Savings</t>
        </is>
      </c>
      <c r="G573" s="2" t="inlineStr">
        <is>
          <t>Travel</t>
        </is>
      </c>
      <c r="H573" s="2" t="inlineStr">
        <is>
          <t>$5491.24</t>
        </is>
      </c>
      <c r="I573" s="2" t="n">
        <v>40802.44</v>
      </c>
      <c r="J573" s="2" t="inlineStr">
        <is>
          <t>Branch Office</t>
        </is>
      </c>
      <c r="K573" s="2" t="inlineStr">
        <is>
          <t>N</t>
        </is>
      </c>
    </row>
    <row r="574">
      <c r="A574" s="2" t="inlineStr">
        <is>
          <t>TXN100574</t>
        </is>
      </c>
      <c r="B574" s="2" t="inlineStr">
        <is>
          <t xml:space="preserve">  CUST0574 </t>
        </is>
      </c>
      <c r="C574" s="2" t="inlineStr">
        <is>
          <t>2026-06-01 07:35:00</t>
        </is>
      </c>
      <c r="D574" s="3" t="inlineStr"/>
      <c r="E574" s="2" t="n">
        <v>74</v>
      </c>
      <c r="F574" s="2" t="inlineStr">
        <is>
          <t>Checking</t>
        </is>
      </c>
      <c r="G574" s="2" t="inlineStr">
        <is>
          <t>GROCERIES</t>
        </is>
      </c>
      <c r="H574" s="2" t="inlineStr">
        <is>
          <t>$1175.29</t>
        </is>
      </c>
      <c r="I574" s="2" t="n">
        <v>47977.82</v>
      </c>
      <c r="J574" s="2" t="inlineStr">
        <is>
          <t>Online Banking</t>
        </is>
      </c>
      <c r="K574" s="2" t="inlineStr">
        <is>
          <t>N</t>
        </is>
      </c>
    </row>
    <row r="575">
      <c r="A575" s="2" t="inlineStr">
        <is>
          <t>TXN100575</t>
        </is>
      </c>
      <c r="B575" s="2" t="inlineStr">
        <is>
          <t xml:space="preserve">  CUST0575 </t>
        </is>
      </c>
      <c r="C575" s="2" t="inlineStr">
        <is>
          <t>2026-06-01 15:51:00</t>
        </is>
      </c>
      <c r="D575" s="2" t="inlineStr">
        <is>
          <t>M</t>
        </is>
      </c>
      <c r="E575" s="2" t="n">
        <v>31</v>
      </c>
      <c r="F575" s="2" t="inlineStr">
        <is>
          <t>Checking</t>
        </is>
      </c>
      <c r="G575" s="2" t="inlineStr">
        <is>
          <t>Utilities</t>
        </is>
      </c>
      <c r="H575" s="2" t="inlineStr">
        <is>
          <t>$1084.43</t>
        </is>
      </c>
      <c r="I575" s="2" t="n">
        <v>44716.89</v>
      </c>
      <c r="J575" s="2" t="inlineStr">
        <is>
          <t>Branch Office</t>
        </is>
      </c>
      <c r="K575" s="2" t="inlineStr">
        <is>
          <t>N</t>
        </is>
      </c>
    </row>
    <row r="576">
      <c r="A576" s="2" t="inlineStr">
        <is>
          <t>TXN100576</t>
        </is>
      </c>
      <c r="B576" s="2" t="inlineStr">
        <is>
          <t xml:space="preserve">  CUST0576 </t>
        </is>
      </c>
      <c r="C576" s="2" t="inlineStr">
        <is>
          <t>2026-06-01 15:19:00</t>
        </is>
      </c>
      <c r="D576" s="2" t="inlineStr">
        <is>
          <t>female</t>
        </is>
      </c>
      <c r="E576" s="2" t="n">
        <v>55</v>
      </c>
      <c r="F576" s="2" t="inlineStr">
        <is>
          <t>Investment</t>
        </is>
      </c>
      <c r="G576" s="2" t="inlineStr">
        <is>
          <t>groceries</t>
        </is>
      </c>
      <c r="H576" s="2" t="inlineStr">
        <is>
          <t>$3193.23</t>
        </is>
      </c>
      <c r="I576" s="2" t="n">
        <v>34681.89</v>
      </c>
      <c r="J576" s="2" t="inlineStr">
        <is>
          <t xml:space="preserve">Mobile App </t>
        </is>
      </c>
      <c r="K576" s="2" t="inlineStr">
        <is>
          <t>N</t>
        </is>
      </c>
    </row>
    <row r="577">
      <c r="A577" s="2" t="inlineStr">
        <is>
          <t>TXN100577</t>
        </is>
      </c>
      <c r="B577" s="2" t="inlineStr">
        <is>
          <t xml:space="preserve">  CUST0577 </t>
        </is>
      </c>
      <c r="C577" s="2" t="inlineStr">
        <is>
          <t>2026-06-01 06:52:00</t>
        </is>
      </c>
      <c r="D577" s="2" t="inlineStr">
        <is>
          <t>female</t>
        </is>
      </c>
      <c r="E577" s="2" t="n">
        <v>50</v>
      </c>
      <c r="F577" s="2" t="inlineStr">
        <is>
          <t>Investment</t>
        </is>
      </c>
      <c r="G577" s="2" t="inlineStr">
        <is>
          <t>groceries</t>
        </is>
      </c>
      <c r="H577" s="2" t="inlineStr">
        <is>
          <t>$3604.34</t>
        </is>
      </c>
      <c r="I577" s="2" t="n">
        <v>17065.5</v>
      </c>
      <c r="J577" s="2" t="inlineStr">
        <is>
          <t>Branch Office</t>
        </is>
      </c>
      <c r="K577" s="2" t="inlineStr">
        <is>
          <t>N</t>
        </is>
      </c>
    </row>
    <row r="578">
      <c r="A578" s="2" t="inlineStr">
        <is>
          <t>TXN100578</t>
        </is>
      </c>
      <c r="B578" s="2" t="inlineStr">
        <is>
          <t xml:space="preserve">  CUST0578 </t>
        </is>
      </c>
      <c r="C578" s="2" t="inlineStr">
        <is>
          <t>2026-06-01 11:35:00</t>
        </is>
      </c>
      <c r="D578" s="2" t="inlineStr">
        <is>
          <t>female</t>
        </is>
      </c>
      <c r="E578" s="2" t="n">
        <v>42</v>
      </c>
      <c r="F578" s="2" t="inlineStr">
        <is>
          <t>Savings</t>
        </is>
      </c>
      <c r="G578" s="2" t="inlineStr">
        <is>
          <t>Utilities</t>
        </is>
      </c>
      <c r="H578" s="2" t="inlineStr">
        <is>
          <t>$978.69</t>
        </is>
      </c>
      <c r="I578" s="2" t="n">
        <v>43434.74</v>
      </c>
      <c r="J578" s="2" t="inlineStr">
        <is>
          <t>Online Banking</t>
        </is>
      </c>
      <c r="K578" s="2" t="inlineStr">
        <is>
          <t>N</t>
        </is>
      </c>
    </row>
    <row r="579">
      <c r="A579" s="2" t="inlineStr">
        <is>
          <t>TXN100579</t>
        </is>
      </c>
      <c r="B579" s="2" t="inlineStr">
        <is>
          <t xml:space="preserve">  CUST0579 </t>
        </is>
      </c>
      <c r="C579" s="2" t="inlineStr">
        <is>
          <t>2026-06-01 18:36:00</t>
        </is>
      </c>
      <c r="D579" s="2" t="inlineStr">
        <is>
          <t>Male</t>
        </is>
      </c>
      <c r="E579" s="2" t="n">
        <v>69</v>
      </c>
      <c r="F579" s="2" t="inlineStr">
        <is>
          <t>Checking</t>
        </is>
      </c>
      <c r="G579" s="2" t="inlineStr">
        <is>
          <t>Entertainment</t>
        </is>
      </c>
      <c r="H579" s="2" t="inlineStr">
        <is>
          <t>$2607.47</t>
        </is>
      </c>
      <c r="I579" s="2" t="n">
        <v>25767</v>
      </c>
      <c r="J579" s="2" t="inlineStr">
        <is>
          <t>ATM</t>
        </is>
      </c>
      <c r="K579" s="2" t="inlineStr">
        <is>
          <t>N</t>
        </is>
      </c>
    </row>
    <row r="580">
      <c r="A580" s="2" t="inlineStr">
        <is>
          <t>TXN100580</t>
        </is>
      </c>
      <c r="B580" s="2" t="inlineStr">
        <is>
          <t xml:space="preserve">  CUST0580 </t>
        </is>
      </c>
      <c r="C580" s="2" t="inlineStr">
        <is>
          <t>2026-06-01 02:24:00</t>
        </is>
      </c>
      <c r="D580" s="2" t="inlineStr">
        <is>
          <t>female</t>
        </is>
      </c>
      <c r="E580" s="2" t="n">
        <v>49</v>
      </c>
      <c r="F580" s="2" t="inlineStr">
        <is>
          <t>Investment</t>
        </is>
      </c>
      <c r="G580" s="2" t="inlineStr">
        <is>
          <t>GROCERIES</t>
        </is>
      </c>
      <c r="H580" s="2" t="inlineStr">
        <is>
          <t>$6947.38</t>
        </is>
      </c>
      <c r="I580" s="2" t="n">
        <v>32208.74</v>
      </c>
      <c r="J580" s="2" t="inlineStr">
        <is>
          <t>Branch Office</t>
        </is>
      </c>
      <c r="K580" s="2" t="inlineStr">
        <is>
          <t>N</t>
        </is>
      </c>
    </row>
    <row r="581">
      <c r="A581" s="2" t="inlineStr">
        <is>
          <t>TXN100581</t>
        </is>
      </c>
      <c r="B581" s="2" t="inlineStr">
        <is>
          <t xml:space="preserve">  CUST0581 </t>
        </is>
      </c>
      <c r="C581" s="2" t="inlineStr">
        <is>
          <t>2026-06-01 13:40:00</t>
        </is>
      </c>
      <c r="D581" s="3" t="inlineStr"/>
      <c r="E581" s="2" t="n">
        <v>74</v>
      </c>
      <c r="F581" s="2" t="inlineStr">
        <is>
          <t>Savings</t>
        </is>
      </c>
      <c r="G581" s="2" t="inlineStr">
        <is>
          <t>groceries</t>
        </is>
      </c>
      <c r="H581" s="2" t="inlineStr">
        <is>
          <t>$1304.38</t>
        </is>
      </c>
      <c r="I581" s="2" t="n">
        <v>11796.79</v>
      </c>
      <c r="J581" s="2" t="inlineStr">
        <is>
          <t>Branch Office</t>
        </is>
      </c>
      <c r="K581" s="2" t="inlineStr">
        <is>
          <t>N</t>
        </is>
      </c>
    </row>
    <row r="582">
      <c r="A582" s="2" t="inlineStr">
        <is>
          <t>TXN100582</t>
        </is>
      </c>
      <c r="B582" s="2" t="inlineStr">
        <is>
          <t xml:space="preserve">  CUST0582 </t>
        </is>
      </c>
      <c r="C582" s="2" t="inlineStr">
        <is>
          <t>2026-06-01 20:18:00</t>
        </is>
      </c>
      <c r="D582" s="2" t="inlineStr">
        <is>
          <t>female</t>
        </is>
      </c>
      <c r="E582" s="2" t="n">
        <v>58</v>
      </c>
      <c r="F582" s="2" t="inlineStr">
        <is>
          <t>Investment</t>
        </is>
      </c>
      <c r="G582" s="2" t="inlineStr">
        <is>
          <t>Utilities</t>
        </is>
      </c>
      <c r="H582" s="2" t="inlineStr">
        <is>
          <t>$2177.27</t>
        </is>
      </c>
      <c r="I582" s="2" t="n">
        <v>22522.47</v>
      </c>
      <c r="J582" s="2" t="inlineStr">
        <is>
          <t>Branch Office</t>
        </is>
      </c>
      <c r="K582" s="2" t="inlineStr">
        <is>
          <t>N</t>
        </is>
      </c>
    </row>
    <row r="583">
      <c r="A583" s="2" t="inlineStr">
        <is>
          <t>TXN100583</t>
        </is>
      </c>
      <c r="B583" s="2" t="inlineStr">
        <is>
          <t xml:space="preserve">  CUST0583 </t>
        </is>
      </c>
      <c r="C583" s="2" t="inlineStr">
        <is>
          <t>2026-06-01 23:37:00</t>
        </is>
      </c>
      <c r="D583" s="2" t="n"/>
      <c r="E583" s="2" t="n">
        <v>46</v>
      </c>
      <c r="F583" s="2" t="inlineStr">
        <is>
          <t>Savings</t>
        </is>
      </c>
      <c r="G583" s="2" t="inlineStr">
        <is>
          <t>GROCERIES</t>
        </is>
      </c>
      <c r="H583" s="2" t="inlineStr">
        <is>
          <t>$6835.15</t>
        </is>
      </c>
      <c r="I583" s="2" t="n">
        <v>6689.48</v>
      </c>
      <c r="J583" s="2" t="inlineStr">
        <is>
          <t>Online Banking</t>
        </is>
      </c>
      <c r="K583" s="2" t="inlineStr">
        <is>
          <t>N</t>
        </is>
      </c>
    </row>
    <row r="584">
      <c r="A584" s="2" t="inlineStr">
        <is>
          <t>TXN100584</t>
        </is>
      </c>
      <c r="B584" s="2" t="inlineStr">
        <is>
          <t xml:space="preserve">  CUST0584 </t>
        </is>
      </c>
      <c r="C584" s="2" t="inlineStr">
        <is>
          <t>2026-06-01 21:16:00</t>
        </is>
      </c>
      <c r="D584" s="2" t="inlineStr">
        <is>
          <t>MALE</t>
        </is>
      </c>
      <c r="E584" s="2" t="n">
        <v>33</v>
      </c>
      <c r="F584" s="2" t="inlineStr">
        <is>
          <t>Savings</t>
        </is>
      </c>
      <c r="G584" s="2" t="inlineStr">
        <is>
          <t>Utilities</t>
        </is>
      </c>
      <c r="H584" s="2" t="inlineStr">
        <is>
          <t>$833.04</t>
        </is>
      </c>
      <c r="I584" s="2" t="n">
        <v>3657.72</v>
      </c>
      <c r="J584" s="2" t="inlineStr">
        <is>
          <t>ATM</t>
        </is>
      </c>
      <c r="K584" s="2" t="inlineStr">
        <is>
          <t>N</t>
        </is>
      </c>
    </row>
    <row r="585">
      <c r="A585" s="2" t="inlineStr">
        <is>
          <t>TXN100585</t>
        </is>
      </c>
      <c r="B585" s="2" t="inlineStr">
        <is>
          <t xml:space="preserve">  CUST0585 </t>
        </is>
      </c>
      <c r="C585" s="2" t="inlineStr">
        <is>
          <t>2026-06-01 17:03:00</t>
        </is>
      </c>
      <c r="D585" s="2" t="inlineStr">
        <is>
          <t>M</t>
        </is>
      </c>
      <c r="E585" s="2" t="n">
        <v>69</v>
      </c>
      <c r="F585" s="2" t="inlineStr">
        <is>
          <t>Checking</t>
        </is>
      </c>
      <c r="G585" s="2" t="inlineStr">
        <is>
          <t>Travel</t>
        </is>
      </c>
      <c r="H585" s="2" t="inlineStr">
        <is>
          <t>$6122.32</t>
        </is>
      </c>
      <c r="I585" s="2" t="n">
        <v>4620.93</v>
      </c>
      <c r="J585" s="2" t="inlineStr">
        <is>
          <t>Branch Office</t>
        </is>
      </c>
      <c r="K585" s="2" t="inlineStr">
        <is>
          <t>N</t>
        </is>
      </c>
    </row>
    <row r="586">
      <c r="A586" s="2" t="inlineStr">
        <is>
          <t>TXN100586</t>
        </is>
      </c>
      <c r="B586" s="2" t="inlineStr">
        <is>
          <t xml:space="preserve">  CUST0586 </t>
        </is>
      </c>
      <c r="C586" s="2" t="inlineStr">
        <is>
          <t>2026-06-01 19:09:00</t>
        </is>
      </c>
      <c r="D586" s="2" t="inlineStr">
        <is>
          <t>MALE</t>
        </is>
      </c>
      <c r="E586" s="2" t="n">
        <v>61</v>
      </c>
      <c r="F586" s="2" t="inlineStr">
        <is>
          <t>Checking</t>
        </is>
      </c>
      <c r="G586" s="2" t="inlineStr">
        <is>
          <t>Entertainment</t>
        </is>
      </c>
      <c r="H586" s="2" t="inlineStr">
        <is>
          <t>$1842.55</t>
        </is>
      </c>
      <c r="I586" s="2" t="n">
        <v>37010.86</v>
      </c>
      <c r="J586" s="2" t="inlineStr">
        <is>
          <t>ATM</t>
        </is>
      </c>
      <c r="K586" s="2" t="inlineStr">
        <is>
          <t>N</t>
        </is>
      </c>
    </row>
    <row r="587">
      <c r="A587" s="2" t="inlineStr">
        <is>
          <t>TXN100587</t>
        </is>
      </c>
      <c r="B587" s="2" t="inlineStr">
        <is>
          <t xml:space="preserve">  CUST0587 </t>
        </is>
      </c>
      <c r="C587" s="2" t="inlineStr">
        <is>
          <t>2026-06-01 20:08:00</t>
        </is>
      </c>
      <c r="D587" s="2" t="inlineStr">
        <is>
          <t>Male</t>
        </is>
      </c>
      <c r="E587" s="2" t="n">
        <v>53</v>
      </c>
      <c r="F587" s="2" t="inlineStr">
        <is>
          <t>Savings</t>
        </is>
      </c>
      <c r="G587" s="2" t="inlineStr">
        <is>
          <t>groceries</t>
        </is>
      </c>
      <c r="H587" s="2" t="inlineStr">
        <is>
          <t>$290.89</t>
        </is>
      </c>
      <c r="I587" s="2" t="n">
        <v>18163.64</v>
      </c>
      <c r="J587" s="2" t="inlineStr">
        <is>
          <t>Branch Office</t>
        </is>
      </c>
      <c r="K587" s="2" t="inlineStr">
        <is>
          <t>N</t>
        </is>
      </c>
    </row>
    <row r="588">
      <c r="A588" s="2" t="inlineStr">
        <is>
          <t>TXN100588</t>
        </is>
      </c>
      <c r="B588" s="2" t="inlineStr">
        <is>
          <t xml:space="preserve">  CUST0588 </t>
        </is>
      </c>
      <c r="C588" s="2" t="inlineStr">
        <is>
          <t>2026-06-01 15:29:00</t>
        </is>
      </c>
      <c r="D588" s="2" t="inlineStr">
        <is>
          <t>female</t>
        </is>
      </c>
      <c r="E588" s="2" t="n">
        <v>55</v>
      </c>
      <c r="F588" s="2" t="inlineStr">
        <is>
          <t>Checking</t>
        </is>
      </c>
      <c r="G588" s="2" t="inlineStr">
        <is>
          <t>GROCERIES</t>
        </is>
      </c>
      <c r="H588" s="2" t="inlineStr">
        <is>
          <t>$7756.64</t>
        </is>
      </c>
      <c r="I588" s="2" t="n">
        <v>35032.33</v>
      </c>
      <c r="J588" s="2" t="inlineStr">
        <is>
          <t>Online Banking</t>
        </is>
      </c>
      <c r="K588" s="2" t="inlineStr">
        <is>
          <t>Y</t>
        </is>
      </c>
    </row>
    <row r="589">
      <c r="A589" s="2" t="inlineStr">
        <is>
          <t>TXN100589</t>
        </is>
      </c>
      <c r="B589" s="2" t="inlineStr">
        <is>
          <t xml:space="preserve">  CUST0589 </t>
        </is>
      </c>
      <c r="C589" s="2" t="inlineStr">
        <is>
          <t>2026-06-01 14:40:00</t>
        </is>
      </c>
      <c r="D589" s="3" t="inlineStr"/>
      <c r="E589" s="2" t="n">
        <v>53</v>
      </c>
      <c r="F589" s="2" t="inlineStr">
        <is>
          <t>Investment</t>
        </is>
      </c>
      <c r="G589" s="2" t="inlineStr">
        <is>
          <t>Travel</t>
        </is>
      </c>
      <c r="H589" s="2" t="inlineStr">
        <is>
          <t>$2484.19</t>
        </is>
      </c>
      <c r="I589" s="2" t="n">
        <v>17684.83</v>
      </c>
      <c r="J589" s="2" t="inlineStr">
        <is>
          <t>Online Banking</t>
        </is>
      </c>
      <c r="K589" s="2" t="inlineStr">
        <is>
          <t>N</t>
        </is>
      </c>
    </row>
    <row r="590">
      <c r="A590" s="2" t="inlineStr">
        <is>
          <t>TXN100590</t>
        </is>
      </c>
      <c r="B590" s="2" t="inlineStr">
        <is>
          <t xml:space="preserve">  CUST0590 </t>
        </is>
      </c>
      <c r="C590" s="2" t="inlineStr">
        <is>
          <t>2026-06-01 02:28:00</t>
        </is>
      </c>
      <c r="D590" s="2" t="inlineStr">
        <is>
          <t>female</t>
        </is>
      </c>
      <c r="E590" s="2" t="n">
        <v>43</v>
      </c>
      <c r="F590" s="2" t="inlineStr">
        <is>
          <t>Checking</t>
        </is>
      </c>
      <c r="G590" s="2" t="inlineStr">
        <is>
          <t>Entertainment</t>
        </is>
      </c>
      <c r="H590" s="2" t="inlineStr">
        <is>
          <t>$1254.18</t>
        </is>
      </c>
      <c r="I590" s="2" t="n">
        <v>1022.51</v>
      </c>
      <c r="J590" s="2" t="inlineStr">
        <is>
          <t>Online Banking</t>
        </is>
      </c>
      <c r="K590" s="2" t="inlineStr">
        <is>
          <t>N</t>
        </is>
      </c>
    </row>
    <row r="591">
      <c r="A591" s="2" t="inlineStr">
        <is>
          <t>TXN100591</t>
        </is>
      </c>
      <c r="B591" s="2" t="inlineStr">
        <is>
          <t xml:space="preserve">  CUST0591 </t>
        </is>
      </c>
      <c r="C591" s="2" t="inlineStr">
        <is>
          <t>2026-06-01 11:18:00</t>
        </is>
      </c>
      <c r="D591" s="2" t="n"/>
      <c r="E591" s="2" t="n">
        <v>54</v>
      </c>
      <c r="F591" s="2" t="inlineStr">
        <is>
          <t>Savings</t>
        </is>
      </c>
      <c r="G591" s="2" t="inlineStr">
        <is>
          <t>Utilities</t>
        </is>
      </c>
      <c r="H591" s="2" t="inlineStr">
        <is>
          <t>$7576.19</t>
        </is>
      </c>
      <c r="I591" s="2" t="n">
        <v>24114.82</v>
      </c>
      <c r="J591" s="2" t="inlineStr">
        <is>
          <t xml:space="preserve">Mobile App </t>
        </is>
      </c>
      <c r="K591" s="2" t="inlineStr">
        <is>
          <t>Y</t>
        </is>
      </c>
    </row>
    <row r="592">
      <c r="A592" s="2" t="inlineStr">
        <is>
          <t>TXN100592</t>
        </is>
      </c>
      <c r="B592" s="2" t="inlineStr">
        <is>
          <t xml:space="preserve">  CUST0592 </t>
        </is>
      </c>
      <c r="C592" s="2" t="inlineStr">
        <is>
          <t>2026-06-01 09:38:00</t>
        </is>
      </c>
      <c r="D592" s="2" t="inlineStr">
        <is>
          <t>F</t>
        </is>
      </c>
      <c r="E592" s="2" t="n">
        <v>70</v>
      </c>
      <c r="F592" s="2" t="inlineStr">
        <is>
          <t>Savings</t>
        </is>
      </c>
      <c r="G592" s="2" t="inlineStr">
        <is>
          <t>Travel</t>
        </is>
      </c>
      <c r="H592" s="2" t="inlineStr">
        <is>
          <t>$2995.41</t>
        </is>
      </c>
      <c r="I592" s="2" t="n">
        <v>20880.93</v>
      </c>
      <c r="J592" s="2" t="inlineStr">
        <is>
          <t>ATM</t>
        </is>
      </c>
      <c r="K592" s="2" t="inlineStr">
        <is>
          <t>N</t>
        </is>
      </c>
    </row>
    <row r="593">
      <c r="A593" s="2" t="inlineStr">
        <is>
          <t>TXN100593</t>
        </is>
      </c>
      <c r="B593" s="2" t="inlineStr">
        <is>
          <t xml:space="preserve">  CUST0593 </t>
        </is>
      </c>
      <c r="C593" s="2" t="inlineStr">
        <is>
          <t>2026-06-01 12:15:00</t>
        </is>
      </c>
      <c r="D593" s="2" t="inlineStr">
        <is>
          <t>Male</t>
        </is>
      </c>
      <c r="E593" s="2" t="n">
        <v>65</v>
      </c>
      <c r="F593" s="2" t="inlineStr">
        <is>
          <t>Investment</t>
        </is>
      </c>
      <c r="G593" s="2" t="inlineStr">
        <is>
          <t>Utilities</t>
        </is>
      </c>
      <c r="H593" s="2" t="inlineStr">
        <is>
          <t>$6629.13</t>
        </is>
      </c>
      <c r="I593" s="2" t="n">
        <v>11419.33</v>
      </c>
      <c r="J593" s="2" t="inlineStr">
        <is>
          <t xml:space="preserve">Mobile App </t>
        </is>
      </c>
      <c r="K593" s="2" t="inlineStr">
        <is>
          <t>N</t>
        </is>
      </c>
    </row>
    <row r="594">
      <c r="A594" s="2" t="inlineStr">
        <is>
          <t>TXN100594</t>
        </is>
      </c>
      <c r="B594" s="2" t="inlineStr">
        <is>
          <t xml:space="preserve">  CUST0594 </t>
        </is>
      </c>
      <c r="C594" s="2" t="inlineStr">
        <is>
          <t>2026-06-01 13:40:00</t>
        </is>
      </c>
      <c r="D594" s="2" t="inlineStr">
        <is>
          <t>F</t>
        </is>
      </c>
      <c r="E594" s="2" t="n">
        <v>53</v>
      </c>
      <c r="F594" s="2" t="inlineStr">
        <is>
          <t>Investment</t>
        </is>
      </c>
      <c r="G594" s="2" t="inlineStr">
        <is>
          <t>Entertainment</t>
        </is>
      </c>
      <c r="H594" s="2" t="inlineStr">
        <is>
          <t>$2284.57</t>
        </is>
      </c>
      <c r="I594" s="2" t="n">
        <v>37274.88</v>
      </c>
      <c r="J594" s="2" t="inlineStr">
        <is>
          <t>Branch Office</t>
        </is>
      </c>
      <c r="K594" s="2" t="inlineStr">
        <is>
          <t>N</t>
        </is>
      </c>
    </row>
    <row r="595">
      <c r="A595" s="2" t="inlineStr">
        <is>
          <t>TXN100595</t>
        </is>
      </c>
      <c r="B595" s="2" t="inlineStr">
        <is>
          <t xml:space="preserve">  CUST0595 </t>
        </is>
      </c>
      <c r="C595" s="2" t="inlineStr">
        <is>
          <t>2026-06-01 13:12:00</t>
        </is>
      </c>
      <c r="D595" s="2" t="inlineStr">
        <is>
          <t>MALE</t>
        </is>
      </c>
      <c r="E595" s="2" t="n">
        <v>31</v>
      </c>
      <c r="F595" s="2" t="inlineStr">
        <is>
          <t>Savings</t>
        </is>
      </c>
      <c r="G595" s="2" t="inlineStr">
        <is>
          <t>Entertainment</t>
        </is>
      </c>
      <c r="H595" s="2" t="inlineStr">
        <is>
          <t>$891.75</t>
        </is>
      </c>
      <c r="I595" s="2" t="n">
        <v>23039.48</v>
      </c>
      <c r="J595" s="2" t="inlineStr">
        <is>
          <t>ATM</t>
        </is>
      </c>
      <c r="K595" s="2" t="inlineStr">
        <is>
          <t>N</t>
        </is>
      </c>
    </row>
    <row r="596">
      <c r="A596" s="2" t="inlineStr">
        <is>
          <t>TXN100596</t>
        </is>
      </c>
      <c r="B596" s="2" t="inlineStr">
        <is>
          <t xml:space="preserve">  CUST0596 </t>
        </is>
      </c>
      <c r="C596" s="2" t="inlineStr">
        <is>
          <t>2026-06-01 08:44:00</t>
        </is>
      </c>
      <c r="D596" s="2" t="n"/>
      <c r="E596" s="2" t="n">
        <v>32</v>
      </c>
      <c r="F596" s="2" t="inlineStr">
        <is>
          <t>Checking</t>
        </is>
      </c>
      <c r="G596" s="2" t="inlineStr">
        <is>
          <t>groceries</t>
        </is>
      </c>
      <c r="H596" s="2" t="inlineStr">
        <is>
          <t>$1225.67</t>
        </is>
      </c>
      <c r="I596" s="2" t="n">
        <v>48500.95</v>
      </c>
      <c r="J596" s="2" t="inlineStr">
        <is>
          <t xml:space="preserve">Mobile App </t>
        </is>
      </c>
      <c r="K596" s="2" t="inlineStr">
        <is>
          <t>N</t>
        </is>
      </c>
    </row>
    <row r="597">
      <c r="A597" s="2" t="inlineStr">
        <is>
          <t>TXN100597</t>
        </is>
      </c>
      <c r="B597" s="2" t="inlineStr">
        <is>
          <t xml:space="preserve">  CUST0597 </t>
        </is>
      </c>
      <c r="C597" s="2" t="inlineStr">
        <is>
          <t>2026-06-01 05:06:00</t>
        </is>
      </c>
      <c r="D597" s="2" t="inlineStr">
        <is>
          <t>female</t>
        </is>
      </c>
      <c r="E597" s="2" t="n">
        <v>37</v>
      </c>
      <c r="F597" s="2" t="inlineStr">
        <is>
          <t>Savings</t>
        </is>
      </c>
      <c r="G597" s="2" t="inlineStr">
        <is>
          <t>Utilities</t>
        </is>
      </c>
      <c r="H597" s="2" t="inlineStr">
        <is>
          <t>$5819.59</t>
        </is>
      </c>
      <c r="I597" s="2" t="n">
        <v>12024.12</v>
      </c>
      <c r="J597" s="2" t="inlineStr">
        <is>
          <t>Online Banking</t>
        </is>
      </c>
      <c r="K597" s="2" t="inlineStr">
        <is>
          <t>N</t>
        </is>
      </c>
    </row>
    <row r="598">
      <c r="A598" s="2" t="inlineStr">
        <is>
          <t>TXN100598</t>
        </is>
      </c>
      <c r="B598" s="2" t="inlineStr">
        <is>
          <t xml:space="preserve">  CUST0598 </t>
        </is>
      </c>
      <c r="C598" s="2" t="inlineStr">
        <is>
          <t>2026-06-01 00:31:00</t>
        </is>
      </c>
      <c r="D598" s="2" t="inlineStr">
        <is>
          <t>F</t>
        </is>
      </c>
      <c r="E598" s="2" t="n">
        <v>41</v>
      </c>
      <c r="F598" s="2" t="inlineStr">
        <is>
          <t>Checking</t>
        </is>
      </c>
      <c r="G598" s="2" t="inlineStr">
        <is>
          <t>Entertainment</t>
        </is>
      </c>
      <c r="H598" s="2" t="inlineStr">
        <is>
          <t>$6287.95</t>
        </is>
      </c>
      <c r="I598" s="2" t="n">
        <v>25170.59</v>
      </c>
      <c r="J598" s="2" t="inlineStr">
        <is>
          <t>Branch Office</t>
        </is>
      </c>
      <c r="K598" s="2" t="inlineStr">
        <is>
          <t>N</t>
        </is>
      </c>
    </row>
    <row r="599">
      <c r="A599" s="2" t="inlineStr">
        <is>
          <t>TXN100599</t>
        </is>
      </c>
      <c r="B599" s="2" t="inlineStr">
        <is>
          <t xml:space="preserve">  CUST0599 </t>
        </is>
      </c>
      <c r="C599" s="2" t="inlineStr">
        <is>
          <t>2026-06-01 14:44:00</t>
        </is>
      </c>
      <c r="D599" s="2" t="inlineStr">
        <is>
          <t>M</t>
        </is>
      </c>
      <c r="E599" s="2" t="n">
        <v>41</v>
      </c>
      <c r="F599" s="2" t="inlineStr">
        <is>
          <t>Savings</t>
        </is>
      </c>
      <c r="G599" s="2" t="inlineStr">
        <is>
          <t>GROCERIES</t>
        </is>
      </c>
      <c r="H599" s="2" t="inlineStr">
        <is>
          <t>$457.75</t>
        </is>
      </c>
      <c r="I599" s="2" t="n">
        <v>38894.82</v>
      </c>
      <c r="J599" s="2" t="inlineStr">
        <is>
          <t xml:space="preserve">Mobile App </t>
        </is>
      </c>
      <c r="K599" s="2" t="inlineStr">
        <is>
          <t>N</t>
        </is>
      </c>
    </row>
    <row r="600">
      <c r="A600" s="2" t="inlineStr">
        <is>
          <t>TXN100600</t>
        </is>
      </c>
      <c r="B600" s="2" t="inlineStr">
        <is>
          <t xml:space="preserve">  CUST0600 </t>
        </is>
      </c>
      <c r="C600" s="2" t="inlineStr">
        <is>
          <t>2026-06-01 17:30:00</t>
        </is>
      </c>
      <c r="D600" s="2" t="inlineStr">
        <is>
          <t>Male</t>
        </is>
      </c>
      <c r="E600" s="2" t="n">
        <v>32</v>
      </c>
      <c r="F600" s="2" t="inlineStr">
        <is>
          <t>Checking</t>
        </is>
      </c>
      <c r="G600" s="2" t="inlineStr">
        <is>
          <t>Utilities</t>
        </is>
      </c>
      <c r="H600" s="2" t="inlineStr">
        <is>
          <t>$6627.73</t>
        </is>
      </c>
      <c r="I600" s="2" t="n">
        <v>6537.1</v>
      </c>
      <c r="J600" s="2" t="inlineStr">
        <is>
          <t>Online Banking</t>
        </is>
      </c>
      <c r="K600" s="2" t="inlineStr">
        <is>
          <t>N</t>
        </is>
      </c>
    </row>
    <row r="601">
      <c r="A601" s="2" t="inlineStr">
        <is>
          <t>TXN100601</t>
        </is>
      </c>
      <c r="B601" s="2" t="inlineStr">
        <is>
          <t xml:space="preserve">  CUST0601 </t>
        </is>
      </c>
      <c r="C601" s="2" t="inlineStr">
        <is>
          <t>2026-06-01 12:49:00</t>
        </is>
      </c>
      <c r="D601" s="2" t="n"/>
      <c r="E601" s="2" t="n">
        <v>35</v>
      </c>
      <c r="F601" s="2" t="inlineStr">
        <is>
          <t>Investment</t>
        </is>
      </c>
      <c r="G601" s="2" t="inlineStr">
        <is>
          <t>groceries</t>
        </is>
      </c>
      <c r="H601" s="2" t="inlineStr">
        <is>
          <t>$1601.45</t>
        </is>
      </c>
      <c r="I601" s="2" t="n">
        <v>36898.48</v>
      </c>
      <c r="J601" s="2" t="inlineStr">
        <is>
          <t xml:space="preserve">Mobile App </t>
        </is>
      </c>
      <c r="K601" s="2" t="inlineStr">
        <is>
          <t>N</t>
        </is>
      </c>
    </row>
    <row r="602">
      <c r="A602" s="2" t="inlineStr">
        <is>
          <t>TXN100602</t>
        </is>
      </c>
      <c r="B602" s="2" t="inlineStr">
        <is>
          <t xml:space="preserve">  CUST0602 </t>
        </is>
      </c>
      <c r="C602" s="2" t="inlineStr">
        <is>
          <t>2026-06-01 16:42:00</t>
        </is>
      </c>
      <c r="D602" s="2" t="inlineStr">
        <is>
          <t>F</t>
        </is>
      </c>
      <c r="E602" s="2" t="n">
        <v>50</v>
      </c>
      <c r="F602" s="2" t="inlineStr">
        <is>
          <t>Checking</t>
        </is>
      </c>
      <c r="G602" s="2" t="inlineStr">
        <is>
          <t>Entertainment</t>
        </is>
      </c>
      <c r="H602" s="2" t="inlineStr">
        <is>
          <t>$7490.36</t>
        </is>
      </c>
      <c r="I602" s="2" t="n">
        <v>8351.27</v>
      </c>
      <c r="J602" s="2" t="inlineStr">
        <is>
          <t xml:space="preserve">Mobile App </t>
        </is>
      </c>
      <c r="K602" s="2" t="inlineStr">
        <is>
          <t>Y</t>
        </is>
      </c>
    </row>
    <row r="603">
      <c r="A603" s="2" t="inlineStr">
        <is>
          <t>TXN100603</t>
        </is>
      </c>
      <c r="B603" s="2" t="inlineStr">
        <is>
          <t xml:space="preserve">  CUST0603 </t>
        </is>
      </c>
      <c r="C603" s="2" t="inlineStr">
        <is>
          <t>2026-06-01 17:33:00</t>
        </is>
      </c>
      <c r="D603" s="2" t="inlineStr">
        <is>
          <t>MALE</t>
        </is>
      </c>
      <c r="E603" s="2" t="n">
        <v>36</v>
      </c>
      <c r="F603" s="2" t="inlineStr">
        <is>
          <t>Checking</t>
        </is>
      </c>
      <c r="G603" s="2" t="inlineStr">
        <is>
          <t>Entertainment</t>
        </is>
      </c>
      <c r="H603" s="2" t="inlineStr">
        <is>
          <t>$1597.8</t>
        </is>
      </c>
      <c r="I603" s="2" t="n">
        <v>44432.22</v>
      </c>
      <c r="J603" s="2" t="inlineStr">
        <is>
          <t>Online Banking</t>
        </is>
      </c>
      <c r="K603" s="2" t="inlineStr">
        <is>
          <t>N</t>
        </is>
      </c>
    </row>
    <row r="604">
      <c r="A604" s="2" t="inlineStr">
        <is>
          <t>TXN100604</t>
        </is>
      </c>
      <c r="B604" s="2" t="inlineStr">
        <is>
          <t xml:space="preserve">  CUST0604 </t>
        </is>
      </c>
      <c r="C604" s="2" t="inlineStr">
        <is>
          <t>2026-06-01 03:15:00</t>
        </is>
      </c>
      <c r="D604" s="3" t="inlineStr"/>
      <c r="E604" s="2" t="n">
        <v>40</v>
      </c>
      <c r="F604" s="2" t="inlineStr">
        <is>
          <t>Savings</t>
        </is>
      </c>
      <c r="G604" s="2" t="inlineStr">
        <is>
          <t>GROCERIES</t>
        </is>
      </c>
      <c r="H604" s="2" t="inlineStr">
        <is>
          <t>$6357.18</t>
        </is>
      </c>
      <c r="I604" s="2" t="n">
        <v>29442.49</v>
      </c>
      <c r="J604" s="2" t="inlineStr">
        <is>
          <t>ATM</t>
        </is>
      </c>
      <c r="K604" s="2" t="inlineStr">
        <is>
          <t>N</t>
        </is>
      </c>
    </row>
    <row r="605">
      <c r="A605" s="2" t="inlineStr">
        <is>
          <t>TXN100605</t>
        </is>
      </c>
      <c r="B605" s="2" t="inlineStr">
        <is>
          <t xml:space="preserve">  CUST0605 </t>
        </is>
      </c>
      <c r="C605" s="2" t="inlineStr">
        <is>
          <t>2026-06-01 07:00:00</t>
        </is>
      </c>
      <c r="D605" s="2" t="inlineStr">
        <is>
          <t>M</t>
        </is>
      </c>
      <c r="E605" s="2" t="n">
        <v>57</v>
      </c>
      <c r="F605" s="2" t="inlineStr">
        <is>
          <t>Investment</t>
        </is>
      </c>
      <c r="G605" s="2" t="inlineStr">
        <is>
          <t>Utilities</t>
        </is>
      </c>
      <c r="H605" s="2" t="inlineStr">
        <is>
          <t>$5510.37</t>
        </is>
      </c>
      <c r="I605" s="2" t="n">
        <v>8172.1</v>
      </c>
      <c r="J605" s="2" t="inlineStr">
        <is>
          <t xml:space="preserve">Mobile App </t>
        </is>
      </c>
      <c r="K605" s="2" t="inlineStr">
        <is>
          <t>N</t>
        </is>
      </c>
    </row>
    <row r="606">
      <c r="A606" s="2" t="inlineStr">
        <is>
          <t>TXN100606</t>
        </is>
      </c>
      <c r="B606" s="2" t="inlineStr">
        <is>
          <t xml:space="preserve">  CUST0606 </t>
        </is>
      </c>
      <c r="C606" s="2" t="inlineStr">
        <is>
          <t>2026-06-01 07:10:00</t>
        </is>
      </c>
      <c r="D606" s="2" t="n"/>
      <c r="E606" s="2" t="n">
        <v>25</v>
      </c>
      <c r="F606" s="2" t="inlineStr">
        <is>
          <t>Investment</t>
        </is>
      </c>
      <c r="G606" s="2" t="inlineStr">
        <is>
          <t>Travel</t>
        </is>
      </c>
      <c r="H606" s="2" t="inlineStr">
        <is>
          <t>$2713.99</t>
        </is>
      </c>
      <c r="I606" s="2" t="n">
        <v>48497.76</v>
      </c>
      <c r="J606" s="2" t="inlineStr">
        <is>
          <t xml:space="preserve">Mobile App </t>
        </is>
      </c>
      <c r="K606" s="2" t="inlineStr">
        <is>
          <t>N</t>
        </is>
      </c>
    </row>
    <row r="607">
      <c r="A607" s="2" t="inlineStr">
        <is>
          <t>TXN100607</t>
        </is>
      </c>
      <c r="B607" s="2" t="inlineStr">
        <is>
          <t xml:space="preserve">  CUST0607 </t>
        </is>
      </c>
      <c r="C607" s="2" t="inlineStr">
        <is>
          <t>2026-06-01 01:22:00</t>
        </is>
      </c>
      <c r="D607" s="2" t="inlineStr">
        <is>
          <t>Male</t>
        </is>
      </c>
      <c r="E607" s="2" t="n">
        <v>64</v>
      </c>
      <c r="F607" s="2" t="inlineStr">
        <is>
          <t>Investment</t>
        </is>
      </c>
      <c r="G607" s="2" t="inlineStr">
        <is>
          <t>groceries</t>
        </is>
      </c>
      <c r="H607" s="2" t="inlineStr">
        <is>
          <t>$1015.36</t>
        </is>
      </c>
      <c r="I607" s="2" t="n">
        <v>12017.39</v>
      </c>
      <c r="J607" s="2" t="inlineStr">
        <is>
          <t>Branch Office</t>
        </is>
      </c>
      <c r="K607" s="2" t="inlineStr">
        <is>
          <t>N</t>
        </is>
      </c>
    </row>
    <row r="608">
      <c r="A608" s="2" t="inlineStr">
        <is>
          <t>TXN100608</t>
        </is>
      </c>
      <c r="B608" s="2" t="inlineStr">
        <is>
          <t xml:space="preserve">  CUST0608 </t>
        </is>
      </c>
      <c r="C608" s="2" t="inlineStr">
        <is>
          <t>2026-06-01 14:46:00</t>
        </is>
      </c>
      <c r="D608" s="2" t="inlineStr">
        <is>
          <t>F</t>
        </is>
      </c>
      <c r="E608" s="2" t="n">
        <v>21</v>
      </c>
      <c r="F608" s="2" t="inlineStr">
        <is>
          <t>Investment</t>
        </is>
      </c>
      <c r="G608" s="2" t="inlineStr">
        <is>
          <t>Utilities</t>
        </is>
      </c>
      <c r="H608" s="2" t="inlineStr">
        <is>
          <t>$2871.76</t>
        </is>
      </c>
      <c r="I608" s="2" t="n">
        <v>7169.24</v>
      </c>
      <c r="J608" s="2" t="inlineStr">
        <is>
          <t xml:space="preserve">Mobile App </t>
        </is>
      </c>
      <c r="K608" s="2" t="inlineStr">
        <is>
          <t>N</t>
        </is>
      </c>
    </row>
    <row r="609">
      <c r="A609" s="2" t="inlineStr">
        <is>
          <t>TXN100609</t>
        </is>
      </c>
      <c r="B609" s="2" t="inlineStr">
        <is>
          <t xml:space="preserve">  CUST0609 </t>
        </is>
      </c>
      <c r="C609" s="2" t="inlineStr">
        <is>
          <t>2026-06-01 15:45:00</t>
        </is>
      </c>
      <c r="D609" s="2" t="n"/>
      <c r="E609" s="2" t="n">
        <v>55</v>
      </c>
      <c r="F609" s="2" t="inlineStr">
        <is>
          <t>Checking</t>
        </is>
      </c>
      <c r="G609" s="2" t="inlineStr">
        <is>
          <t>Travel</t>
        </is>
      </c>
      <c r="H609" s="2" t="inlineStr">
        <is>
          <t>$5579.33</t>
        </is>
      </c>
      <c r="I609" s="2" t="n">
        <v>9893.9</v>
      </c>
      <c r="J609" s="2" t="inlineStr">
        <is>
          <t>Online Banking</t>
        </is>
      </c>
      <c r="K609" s="2" t="inlineStr">
        <is>
          <t>N</t>
        </is>
      </c>
    </row>
    <row r="610">
      <c r="A610" s="2" t="inlineStr">
        <is>
          <t>TXN100610</t>
        </is>
      </c>
      <c r="B610" s="2" t="inlineStr">
        <is>
          <t xml:space="preserve">  CUST0610 </t>
        </is>
      </c>
      <c r="C610" s="2" t="inlineStr">
        <is>
          <t>2026-06-01 17:22:00</t>
        </is>
      </c>
      <c r="D610" s="2" t="inlineStr">
        <is>
          <t>Female</t>
        </is>
      </c>
      <c r="E610" s="2" t="n">
        <v>66</v>
      </c>
      <c r="F610" s="2" t="inlineStr">
        <is>
          <t>Checking</t>
        </is>
      </c>
      <c r="G610" s="2" t="inlineStr">
        <is>
          <t>Entertainment</t>
        </is>
      </c>
      <c r="H610" s="2" t="inlineStr">
        <is>
          <t>$6942.62</t>
        </is>
      </c>
      <c r="I610" s="2" t="n">
        <v>30134.66</v>
      </c>
      <c r="J610" s="2" t="inlineStr">
        <is>
          <t>Online Banking</t>
        </is>
      </c>
      <c r="K610" s="2" t="inlineStr">
        <is>
          <t>N</t>
        </is>
      </c>
    </row>
    <row r="611">
      <c r="A611" s="2" t="inlineStr">
        <is>
          <t>TXN100611</t>
        </is>
      </c>
      <c r="B611" s="2" t="inlineStr">
        <is>
          <t xml:space="preserve">  CUST0611 </t>
        </is>
      </c>
      <c r="C611" s="2" t="inlineStr">
        <is>
          <t>2026-06-01 02:33:00</t>
        </is>
      </c>
      <c r="D611" s="2" t="inlineStr">
        <is>
          <t>Male</t>
        </is>
      </c>
      <c r="E611" s="2" t="n">
        <v>48</v>
      </c>
      <c r="F611" s="2" t="inlineStr">
        <is>
          <t>Checking</t>
        </is>
      </c>
      <c r="G611" s="2" t="inlineStr">
        <is>
          <t>Entertainment</t>
        </is>
      </c>
      <c r="H611" s="2" t="inlineStr">
        <is>
          <t>$4337.43</t>
        </is>
      </c>
      <c r="I611" s="2" t="n">
        <v>22976.91</v>
      </c>
      <c r="J611" s="2" t="inlineStr">
        <is>
          <t>ATM</t>
        </is>
      </c>
      <c r="K611" s="2" t="inlineStr">
        <is>
          <t>N</t>
        </is>
      </c>
    </row>
    <row r="612">
      <c r="A612" s="2" t="inlineStr">
        <is>
          <t>TXN100612</t>
        </is>
      </c>
      <c r="B612" s="2" t="inlineStr">
        <is>
          <t xml:space="preserve">  CUST0612 </t>
        </is>
      </c>
      <c r="C612" s="2" t="inlineStr">
        <is>
          <t>2026-06-01 23:11:00</t>
        </is>
      </c>
      <c r="D612" s="2" t="inlineStr">
        <is>
          <t>M</t>
        </is>
      </c>
      <c r="E612" s="2" t="n">
        <v>59</v>
      </c>
      <c r="F612" s="2" t="inlineStr">
        <is>
          <t>Checking</t>
        </is>
      </c>
      <c r="G612" s="2" t="inlineStr">
        <is>
          <t>Travel</t>
        </is>
      </c>
      <c r="H612" s="2" t="inlineStr">
        <is>
          <t>$1917.9</t>
        </is>
      </c>
      <c r="I612" s="2" t="n">
        <v>36189.68</v>
      </c>
      <c r="J612" s="2" t="inlineStr">
        <is>
          <t>ATM</t>
        </is>
      </c>
      <c r="K612" s="2" t="inlineStr">
        <is>
          <t>N</t>
        </is>
      </c>
    </row>
    <row r="613">
      <c r="A613" s="2" t="inlineStr">
        <is>
          <t>TXN100613</t>
        </is>
      </c>
      <c r="B613" s="2" t="inlineStr">
        <is>
          <t xml:space="preserve">  CUST0613 </t>
        </is>
      </c>
      <c r="C613" s="2" t="inlineStr">
        <is>
          <t>2026-06-01 06:33:00</t>
        </is>
      </c>
      <c r="D613" s="2" t="n"/>
      <c r="E613" s="2" t="n">
        <v>69</v>
      </c>
      <c r="F613" s="2" t="inlineStr">
        <is>
          <t>Investment</t>
        </is>
      </c>
      <c r="G613" s="2" t="inlineStr">
        <is>
          <t>GROCERIES</t>
        </is>
      </c>
      <c r="H613" s="2" t="inlineStr">
        <is>
          <t>$4908.18</t>
        </is>
      </c>
      <c r="I613" s="2" t="n">
        <v>16468.7</v>
      </c>
      <c r="J613" s="2" t="inlineStr">
        <is>
          <t>Branch Office</t>
        </is>
      </c>
      <c r="K613" s="2" t="inlineStr">
        <is>
          <t>N</t>
        </is>
      </c>
    </row>
    <row r="614">
      <c r="A614" s="2" t="inlineStr">
        <is>
          <t>TXN100614</t>
        </is>
      </c>
      <c r="B614" s="2" t="inlineStr">
        <is>
          <t xml:space="preserve">  CUST0614 </t>
        </is>
      </c>
      <c r="C614" s="2" t="inlineStr">
        <is>
          <t>2026-06-01 03:06:00</t>
        </is>
      </c>
      <c r="D614" s="2" t="inlineStr">
        <is>
          <t>MALE</t>
        </is>
      </c>
      <c r="E614" s="2" t="n">
        <v>22</v>
      </c>
      <c r="F614" s="2" t="inlineStr">
        <is>
          <t>Savings</t>
        </is>
      </c>
      <c r="G614" s="2" t="inlineStr">
        <is>
          <t>GROCERIES</t>
        </is>
      </c>
      <c r="H614" s="2" t="inlineStr">
        <is>
          <t>$6989.21</t>
        </is>
      </c>
      <c r="I614" s="2" t="n">
        <v>10502.91</v>
      </c>
      <c r="J614" s="2" t="inlineStr">
        <is>
          <t>ATM</t>
        </is>
      </c>
      <c r="K614" s="2" t="inlineStr">
        <is>
          <t>N</t>
        </is>
      </c>
    </row>
    <row r="615">
      <c r="A615" s="2" t="inlineStr">
        <is>
          <t>TXN100615</t>
        </is>
      </c>
      <c r="B615" s="2" t="inlineStr">
        <is>
          <t xml:space="preserve">  CUST0615 </t>
        </is>
      </c>
      <c r="C615" s="2" t="inlineStr">
        <is>
          <t>2026-06-01 06:06:00</t>
        </is>
      </c>
      <c r="D615" s="2" t="inlineStr">
        <is>
          <t>M</t>
        </is>
      </c>
      <c r="E615" s="2" t="n">
        <v>56</v>
      </c>
      <c r="F615" s="2" t="inlineStr">
        <is>
          <t>Investment</t>
        </is>
      </c>
      <c r="G615" s="2" t="inlineStr">
        <is>
          <t>Utilities</t>
        </is>
      </c>
      <c r="H615" s="2" t="inlineStr">
        <is>
          <t>$5266.79</t>
        </is>
      </c>
      <c r="I615" s="2" t="n">
        <v>26528.16</v>
      </c>
      <c r="J615" s="2" t="inlineStr">
        <is>
          <t>Branch Office</t>
        </is>
      </c>
      <c r="K615" s="2" t="inlineStr">
        <is>
          <t>N</t>
        </is>
      </c>
    </row>
    <row r="616">
      <c r="A616" s="2" t="inlineStr">
        <is>
          <t>TXN100616</t>
        </is>
      </c>
      <c r="B616" s="2" t="inlineStr">
        <is>
          <t xml:space="preserve">  CUST0616 </t>
        </is>
      </c>
      <c r="C616" s="2" t="inlineStr">
        <is>
          <t>2026-06-01 01:23:00</t>
        </is>
      </c>
      <c r="D616" s="2" t="inlineStr">
        <is>
          <t>F</t>
        </is>
      </c>
      <c r="E616" s="2" t="n">
        <v>58</v>
      </c>
      <c r="F616" s="2" t="inlineStr">
        <is>
          <t>Investment</t>
        </is>
      </c>
      <c r="G616" s="2" t="inlineStr">
        <is>
          <t>groceries</t>
        </is>
      </c>
      <c r="H616" s="2" t="inlineStr">
        <is>
          <t>$114.56</t>
        </is>
      </c>
      <c r="I616" s="2" t="n">
        <v>46091.24</v>
      </c>
      <c r="J616" s="2" t="inlineStr">
        <is>
          <t>ATM</t>
        </is>
      </c>
      <c r="K616" s="2" t="inlineStr">
        <is>
          <t>N</t>
        </is>
      </c>
    </row>
    <row r="617">
      <c r="A617" s="2" t="inlineStr">
        <is>
          <t>TXN100617</t>
        </is>
      </c>
      <c r="B617" s="2" t="inlineStr">
        <is>
          <t xml:space="preserve">  CUST0617 </t>
        </is>
      </c>
      <c r="C617" s="2" t="inlineStr">
        <is>
          <t>2026-06-01 02:29:00</t>
        </is>
      </c>
      <c r="D617" s="2" t="inlineStr">
        <is>
          <t>M</t>
        </is>
      </c>
      <c r="E617" s="2" t="n">
        <v>43</v>
      </c>
      <c r="F617" s="2" t="inlineStr">
        <is>
          <t>Investment</t>
        </is>
      </c>
      <c r="G617" s="2" t="inlineStr">
        <is>
          <t>Utilities</t>
        </is>
      </c>
      <c r="H617" s="2" t="inlineStr">
        <is>
          <t>$6577.99</t>
        </is>
      </c>
      <c r="I617" s="2" t="n">
        <v>39815.35</v>
      </c>
      <c r="J617" s="2" t="inlineStr">
        <is>
          <t xml:space="preserve">Mobile App </t>
        </is>
      </c>
      <c r="K617" s="2" t="inlineStr">
        <is>
          <t>N</t>
        </is>
      </c>
    </row>
    <row r="618">
      <c r="A618" s="2" t="inlineStr">
        <is>
          <t>TXN100618</t>
        </is>
      </c>
      <c r="B618" s="2" t="inlineStr">
        <is>
          <t xml:space="preserve">  CUST0618 </t>
        </is>
      </c>
      <c r="C618" s="2" t="inlineStr">
        <is>
          <t>2026-06-01 19:17:00</t>
        </is>
      </c>
      <c r="D618" s="2" t="inlineStr">
        <is>
          <t>M</t>
        </is>
      </c>
      <c r="E618" s="2" t="n">
        <v>66</v>
      </c>
      <c r="F618" s="2" t="inlineStr">
        <is>
          <t>Savings</t>
        </is>
      </c>
      <c r="G618" s="2" t="inlineStr">
        <is>
          <t>Entertainment</t>
        </is>
      </c>
      <c r="H618" s="2" t="inlineStr">
        <is>
          <t>$632.7</t>
        </is>
      </c>
      <c r="I618" s="2" t="n">
        <v>11187.05</v>
      </c>
      <c r="J618" s="2" t="inlineStr">
        <is>
          <t xml:space="preserve">Mobile App </t>
        </is>
      </c>
      <c r="K618" s="2" t="inlineStr">
        <is>
          <t>N</t>
        </is>
      </c>
    </row>
    <row r="619">
      <c r="A619" s="2" t="inlineStr">
        <is>
          <t>TXN100619</t>
        </is>
      </c>
      <c r="B619" s="2" t="inlineStr">
        <is>
          <t xml:space="preserve">  CUST0619 </t>
        </is>
      </c>
      <c r="C619" s="2" t="inlineStr">
        <is>
          <t>2026-06-01 03:46:00</t>
        </is>
      </c>
      <c r="D619" s="2" t="inlineStr">
        <is>
          <t>F</t>
        </is>
      </c>
      <c r="E619" s="2" t="n">
        <v>54</v>
      </c>
      <c r="F619" s="2" t="inlineStr">
        <is>
          <t>Checking</t>
        </is>
      </c>
      <c r="G619" s="2" t="inlineStr">
        <is>
          <t>GROCERIES</t>
        </is>
      </c>
      <c r="H619" s="2" t="inlineStr">
        <is>
          <t>$1553.02</t>
        </is>
      </c>
      <c r="I619" s="2" t="n">
        <v>33015.39</v>
      </c>
      <c r="J619" s="2" t="inlineStr">
        <is>
          <t>Online Banking</t>
        </is>
      </c>
      <c r="K619" s="2" t="inlineStr">
        <is>
          <t>N</t>
        </is>
      </c>
    </row>
    <row r="620">
      <c r="A620" s="2" t="inlineStr">
        <is>
          <t>TXN100620</t>
        </is>
      </c>
      <c r="B620" s="2" t="inlineStr">
        <is>
          <t xml:space="preserve">  CUST0620 </t>
        </is>
      </c>
      <c r="C620" s="2" t="inlineStr">
        <is>
          <t>2026-06-01 17:47:00</t>
        </is>
      </c>
      <c r="D620" s="3" t="inlineStr"/>
      <c r="E620" s="2" t="n">
        <v>67</v>
      </c>
      <c r="F620" s="2" t="inlineStr">
        <is>
          <t>Savings</t>
        </is>
      </c>
      <c r="G620" s="2" t="inlineStr">
        <is>
          <t>Travel</t>
        </is>
      </c>
      <c r="H620" s="2" t="inlineStr">
        <is>
          <t>$2870.13</t>
        </is>
      </c>
      <c r="I620" s="2" t="n">
        <v>23206.67</v>
      </c>
      <c r="J620" s="2" t="inlineStr">
        <is>
          <t>ATM</t>
        </is>
      </c>
      <c r="K620" s="2" t="inlineStr">
        <is>
          <t>N</t>
        </is>
      </c>
    </row>
    <row r="621">
      <c r="A621" s="2" t="inlineStr">
        <is>
          <t>TXN100621</t>
        </is>
      </c>
      <c r="B621" s="2" t="inlineStr">
        <is>
          <t xml:space="preserve">  CUST0621 </t>
        </is>
      </c>
      <c r="C621" s="2" t="inlineStr">
        <is>
          <t>2026-06-01 03:10:00</t>
        </is>
      </c>
      <c r="D621" s="2" t="inlineStr">
        <is>
          <t>Male</t>
        </is>
      </c>
      <c r="E621" s="2" t="n">
        <v>55</v>
      </c>
      <c r="F621" s="2" t="inlineStr">
        <is>
          <t>Checking</t>
        </is>
      </c>
      <c r="G621" s="2" t="inlineStr">
        <is>
          <t>Travel</t>
        </is>
      </c>
      <c r="H621" s="2" t="inlineStr">
        <is>
          <t>$2706.73</t>
        </is>
      </c>
      <c r="I621" s="2" t="n">
        <v>8329.73</v>
      </c>
      <c r="J621" s="2" t="inlineStr">
        <is>
          <t>ATM</t>
        </is>
      </c>
      <c r="K621" s="2" t="inlineStr">
        <is>
          <t>N</t>
        </is>
      </c>
    </row>
    <row r="622">
      <c r="A622" s="2" t="inlineStr">
        <is>
          <t>TXN100622</t>
        </is>
      </c>
      <c r="B622" s="2" t="inlineStr">
        <is>
          <t xml:space="preserve">  CUST0622 </t>
        </is>
      </c>
      <c r="C622" s="2" t="inlineStr">
        <is>
          <t>2026-06-01 11:57:00</t>
        </is>
      </c>
      <c r="D622" s="2" t="inlineStr">
        <is>
          <t>Female</t>
        </is>
      </c>
      <c r="E622" s="2" t="n">
        <v>55</v>
      </c>
      <c r="F622" s="2" t="inlineStr">
        <is>
          <t>Checking</t>
        </is>
      </c>
      <c r="G622" s="2" t="inlineStr">
        <is>
          <t>Entertainment</t>
        </is>
      </c>
      <c r="H622" s="2" t="inlineStr">
        <is>
          <t>$3304.62</t>
        </is>
      </c>
      <c r="I622" s="2" t="n">
        <v>31845.42</v>
      </c>
      <c r="J622" s="2" t="inlineStr">
        <is>
          <t>Branch Office</t>
        </is>
      </c>
      <c r="K622" s="2" t="inlineStr">
        <is>
          <t>N</t>
        </is>
      </c>
    </row>
    <row r="623">
      <c r="A623" s="2" t="inlineStr">
        <is>
          <t>TXN100623</t>
        </is>
      </c>
      <c r="B623" s="2" t="inlineStr">
        <is>
          <t xml:space="preserve">  CUST0623 </t>
        </is>
      </c>
      <c r="C623" s="2" t="inlineStr">
        <is>
          <t>2026-06-01 19:15:00</t>
        </is>
      </c>
      <c r="D623" s="2" t="inlineStr">
        <is>
          <t>F</t>
        </is>
      </c>
      <c r="E623" s="2" t="n">
        <v>44</v>
      </c>
      <c r="F623" s="2" t="inlineStr">
        <is>
          <t>Investment</t>
        </is>
      </c>
      <c r="G623" s="2" t="inlineStr">
        <is>
          <t>Entertainment</t>
        </is>
      </c>
      <c r="H623" s="2" t="inlineStr">
        <is>
          <t>$2886.47</t>
        </is>
      </c>
      <c r="I623" s="2" t="n">
        <v>22893.97</v>
      </c>
      <c r="J623" s="2" t="inlineStr">
        <is>
          <t>ATM</t>
        </is>
      </c>
      <c r="K623" s="2" t="inlineStr">
        <is>
          <t>N</t>
        </is>
      </c>
    </row>
    <row r="624">
      <c r="A624" s="2" t="inlineStr">
        <is>
          <t>TXN100624</t>
        </is>
      </c>
      <c r="B624" s="2" t="inlineStr">
        <is>
          <t xml:space="preserve">  CUST0624 </t>
        </is>
      </c>
      <c r="C624" s="2" t="inlineStr">
        <is>
          <t>2026-06-01 00:46:00</t>
        </is>
      </c>
      <c r="D624" s="2" t="inlineStr">
        <is>
          <t>M</t>
        </is>
      </c>
      <c r="E624" s="2" t="n">
        <v>38</v>
      </c>
      <c r="F624" s="2" t="inlineStr">
        <is>
          <t>Investment</t>
        </is>
      </c>
      <c r="G624" s="2" t="inlineStr">
        <is>
          <t>groceries</t>
        </is>
      </c>
      <c r="H624" s="2" t="inlineStr">
        <is>
          <t>$4145.7</t>
        </is>
      </c>
      <c r="I624" s="2" t="n">
        <v>49673.89</v>
      </c>
      <c r="J624" s="2" t="inlineStr">
        <is>
          <t>Branch Office</t>
        </is>
      </c>
      <c r="K624" s="2" t="inlineStr">
        <is>
          <t>N</t>
        </is>
      </c>
    </row>
    <row r="625">
      <c r="A625" s="2" t="inlineStr">
        <is>
          <t>TXN100625</t>
        </is>
      </c>
      <c r="B625" s="2" t="inlineStr">
        <is>
          <t xml:space="preserve">  CUST0625 </t>
        </is>
      </c>
      <c r="C625" s="2" t="inlineStr">
        <is>
          <t>2026-06-01 00:19:00</t>
        </is>
      </c>
      <c r="D625" s="2" t="inlineStr">
        <is>
          <t>F</t>
        </is>
      </c>
      <c r="E625" s="2" t="n">
        <v>33</v>
      </c>
      <c r="F625" s="2" t="inlineStr">
        <is>
          <t>Checking</t>
        </is>
      </c>
      <c r="G625" s="2" t="inlineStr">
        <is>
          <t>groceries</t>
        </is>
      </c>
      <c r="H625" s="2" t="inlineStr">
        <is>
          <t>$6174.47</t>
        </is>
      </c>
      <c r="I625" s="2" t="n">
        <v>47195.72</v>
      </c>
      <c r="J625" s="2" t="inlineStr">
        <is>
          <t>Branch Office</t>
        </is>
      </c>
      <c r="K625" s="2" t="inlineStr">
        <is>
          <t>N</t>
        </is>
      </c>
    </row>
    <row r="626">
      <c r="A626" s="2" t="inlineStr">
        <is>
          <t>TXN100626</t>
        </is>
      </c>
      <c r="B626" s="2" t="inlineStr">
        <is>
          <t xml:space="preserve">  CUST0626 </t>
        </is>
      </c>
      <c r="C626" s="2" t="inlineStr">
        <is>
          <t>2026-06-01 17:32:00</t>
        </is>
      </c>
      <c r="D626" s="2" t="inlineStr">
        <is>
          <t>Male</t>
        </is>
      </c>
      <c r="E626" s="2" t="n">
        <v>26</v>
      </c>
      <c r="F626" s="2" t="inlineStr">
        <is>
          <t>Savings</t>
        </is>
      </c>
      <c r="G626" s="2" t="inlineStr">
        <is>
          <t>Utilities</t>
        </is>
      </c>
      <c r="H626" s="2" t="inlineStr">
        <is>
          <t>$2851.69</t>
        </is>
      </c>
      <c r="I626" s="2" t="n">
        <v>7351.21</v>
      </c>
      <c r="J626" s="2" t="inlineStr">
        <is>
          <t>Branch Office</t>
        </is>
      </c>
      <c r="K626" s="2" t="inlineStr">
        <is>
          <t>N</t>
        </is>
      </c>
    </row>
    <row r="627">
      <c r="A627" s="2" t="inlineStr">
        <is>
          <t>TXN100627</t>
        </is>
      </c>
      <c r="B627" s="2" t="inlineStr">
        <is>
          <t xml:space="preserve">  CUST0627 </t>
        </is>
      </c>
      <c r="C627" s="2" t="inlineStr">
        <is>
          <t>2026-06-01 18:15:00</t>
        </is>
      </c>
      <c r="D627" s="2" t="inlineStr">
        <is>
          <t>F</t>
        </is>
      </c>
      <c r="E627" s="2" t="n">
        <v>36</v>
      </c>
      <c r="F627" s="2" t="inlineStr">
        <is>
          <t>Checking</t>
        </is>
      </c>
      <c r="G627" s="2" t="inlineStr">
        <is>
          <t>groceries</t>
        </is>
      </c>
      <c r="H627" s="2" t="inlineStr">
        <is>
          <t>$4568.19</t>
        </is>
      </c>
      <c r="I627" s="2" t="n">
        <v>28668.71</v>
      </c>
      <c r="J627" s="2" t="inlineStr">
        <is>
          <t>Online Banking</t>
        </is>
      </c>
      <c r="K627" s="2" t="inlineStr">
        <is>
          <t>N</t>
        </is>
      </c>
    </row>
    <row r="628">
      <c r="A628" s="2" t="inlineStr">
        <is>
          <t>TXN100628</t>
        </is>
      </c>
      <c r="B628" s="2" t="inlineStr">
        <is>
          <t xml:space="preserve">  CUST0628 </t>
        </is>
      </c>
      <c r="C628" s="2" t="inlineStr">
        <is>
          <t>2026-06-01 23:04:00</t>
        </is>
      </c>
      <c r="D628" s="2" t="inlineStr">
        <is>
          <t>Female</t>
        </is>
      </c>
      <c r="E628" s="2" t="n">
        <v>70</v>
      </c>
      <c r="F628" s="2" t="inlineStr">
        <is>
          <t>Checking</t>
        </is>
      </c>
      <c r="G628" s="2" t="inlineStr">
        <is>
          <t>GROCERIES</t>
        </is>
      </c>
      <c r="H628" s="2" t="inlineStr">
        <is>
          <t>$3911.33</t>
        </is>
      </c>
      <c r="I628" s="2" t="n">
        <v>45001.69</v>
      </c>
      <c r="J628" s="2" t="inlineStr">
        <is>
          <t xml:space="preserve">Mobile App </t>
        </is>
      </c>
      <c r="K628" s="2" t="inlineStr">
        <is>
          <t>N</t>
        </is>
      </c>
    </row>
    <row r="629">
      <c r="A629" s="2" t="inlineStr">
        <is>
          <t>TXN100629</t>
        </is>
      </c>
      <c r="B629" s="2" t="inlineStr">
        <is>
          <t xml:space="preserve">  CUST0629 </t>
        </is>
      </c>
      <c r="C629" s="2" t="inlineStr">
        <is>
          <t>2026-06-01 19:41:00</t>
        </is>
      </c>
      <c r="D629" s="2" t="inlineStr">
        <is>
          <t>female</t>
        </is>
      </c>
      <c r="E629" s="2" t="n">
        <v>22</v>
      </c>
      <c r="F629" s="2" t="inlineStr">
        <is>
          <t>Investment</t>
        </is>
      </c>
      <c r="G629" s="2" t="inlineStr">
        <is>
          <t>Travel</t>
        </is>
      </c>
      <c r="H629" s="2" t="inlineStr">
        <is>
          <t>$3058.55</t>
        </is>
      </c>
      <c r="I629" s="2" t="n">
        <v>39116.03</v>
      </c>
      <c r="J629" s="2" t="inlineStr">
        <is>
          <t>Branch Office</t>
        </is>
      </c>
      <c r="K629" s="2" t="inlineStr">
        <is>
          <t>N</t>
        </is>
      </c>
    </row>
    <row r="630">
      <c r="A630" s="2" t="inlineStr">
        <is>
          <t>TXN100630</t>
        </is>
      </c>
      <c r="B630" s="2" t="inlineStr">
        <is>
          <t xml:space="preserve">  CUST0630 </t>
        </is>
      </c>
      <c r="C630" s="2" t="inlineStr">
        <is>
          <t>2026-06-01 11:56:00</t>
        </is>
      </c>
      <c r="D630" s="3" t="inlineStr"/>
      <c r="E630" s="2" t="n">
        <v>46</v>
      </c>
      <c r="F630" s="2" t="inlineStr">
        <is>
          <t>Savings</t>
        </is>
      </c>
      <c r="G630" s="2" t="inlineStr">
        <is>
          <t>GROCERIES</t>
        </is>
      </c>
      <c r="H630" s="2" t="inlineStr">
        <is>
          <t>$5983.95</t>
        </is>
      </c>
      <c r="I630" s="2" t="n">
        <v>42549.17</v>
      </c>
      <c r="J630" s="2" t="inlineStr">
        <is>
          <t xml:space="preserve">Mobile App </t>
        </is>
      </c>
      <c r="K630" s="2" t="inlineStr">
        <is>
          <t>N</t>
        </is>
      </c>
    </row>
    <row r="631">
      <c r="A631" s="2" t="inlineStr">
        <is>
          <t>TXN100631</t>
        </is>
      </c>
      <c r="B631" s="2" t="inlineStr">
        <is>
          <t xml:space="preserve">  CUST0631 </t>
        </is>
      </c>
      <c r="C631" s="2" t="inlineStr">
        <is>
          <t>2026-06-01 20:49:00</t>
        </is>
      </c>
      <c r="D631" s="3" t="inlineStr"/>
      <c r="E631" s="2" t="n">
        <v>23</v>
      </c>
      <c r="F631" s="2" t="inlineStr">
        <is>
          <t>Checking</t>
        </is>
      </c>
      <c r="G631" s="2" t="inlineStr">
        <is>
          <t>Travel</t>
        </is>
      </c>
      <c r="H631" s="2" t="inlineStr">
        <is>
          <t>$339.05</t>
        </is>
      </c>
      <c r="I631" s="2" t="n">
        <v>27226.52</v>
      </c>
      <c r="J631" s="2" t="inlineStr">
        <is>
          <t>Online Banking</t>
        </is>
      </c>
      <c r="K631" s="2" t="inlineStr">
        <is>
          <t>N</t>
        </is>
      </c>
    </row>
    <row r="632">
      <c r="A632" s="2" t="inlineStr">
        <is>
          <t>TXN100632</t>
        </is>
      </c>
      <c r="B632" s="2" t="inlineStr">
        <is>
          <t xml:space="preserve">  CUST0632 </t>
        </is>
      </c>
      <c r="C632" s="2" t="inlineStr">
        <is>
          <t>2026-06-01 10:32:00</t>
        </is>
      </c>
      <c r="D632" s="2" t="inlineStr">
        <is>
          <t>F</t>
        </is>
      </c>
      <c r="E632" s="2" t="n">
        <v>29</v>
      </c>
      <c r="F632" s="2" t="inlineStr">
        <is>
          <t>Savings</t>
        </is>
      </c>
      <c r="G632" s="2" t="inlineStr">
        <is>
          <t>Utilities</t>
        </is>
      </c>
      <c r="H632" s="2" t="inlineStr">
        <is>
          <t>$7768.61</t>
        </is>
      </c>
      <c r="I632" s="2" t="n">
        <v>37765.59</v>
      </c>
      <c r="J632" s="2" t="inlineStr">
        <is>
          <t xml:space="preserve">Mobile App </t>
        </is>
      </c>
      <c r="K632" s="2" t="inlineStr">
        <is>
          <t>N</t>
        </is>
      </c>
    </row>
    <row r="633">
      <c r="A633" s="2" t="inlineStr">
        <is>
          <t>TXN100633</t>
        </is>
      </c>
      <c r="B633" s="2" t="inlineStr">
        <is>
          <t xml:space="preserve">  CUST0633 </t>
        </is>
      </c>
      <c r="C633" s="2" t="inlineStr">
        <is>
          <t>2026-06-01 09:50:00</t>
        </is>
      </c>
      <c r="D633" s="3" t="inlineStr"/>
      <c r="E633" s="2" t="n">
        <v>29</v>
      </c>
      <c r="F633" s="2" t="inlineStr">
        <is>
          <t>Savings</t>
        </is>
      </c>
      <c r="G633" s="2" t="inlineStr">
        <is>
          <t>Entertainment</t>
        </is>
      </c>
      <c r="H633" s="2" t="inlineStr">
        <is>
          <t>$669.54</t>
        </is>
      </c>
      <c r="I633" s="2" t="n">
        <v>28786.31</v>
      </c>
      <c r="J633" s="2" t="inlineStr">
        <is>
          <t xml:space="preserve">Mobile App </t>
        </is>
      </c>
      <c r="K633" s="2" t="inlineStr">
        <is>
          <t>N</t>
        </is>
      </c>
    </row>
    <row r="634">
      <c r="A634" s="2" t="inlineStr">
        <is>
          <t>TXN100634</t>
        </is>
      </c>
      <c r="B634" s="2" t="inlineStr">
        <is>
          <t xml:space="preserve">  CUST0634 </t>
        </is>
      </c>
      <c r="C634" s="2" t="inlineStr">
        <is>
          <t>2026-06-01 17:25:00</t>
        </is>
      </c>
      <c r="D634" s="2" t="inlineStr">
        <is>
          <t>female</t>
        </is>
      </c>
      <c r="E634" s="2" t="n">
        <v>25</v>
      </c>
      <c r="F634" s="2" t="inlineStr">
        <is>
          <t>Checking</t>
        </is>
      </c>
      <c r="G634" s="2" t="inlineStr">
        <is>
          <t>Travel</t>
        </is>
      </c>
      <c r="H634" s="2" t="inlineStr">
        <is>
          <t>$3481.58</t>
        </is>
      </c>
      <c r="I634" s="2" t="n">
        <v>35044.59</v>
      </c>
      <c r="J634" s="2" t="inlineStr">
        <is>
          <t>Online Banking</t>
        </is>
      </c>
      <c r="K634" s="2" t="inlineStr">
        <is>
          <t>N</t>
        </is>
      </c>
    </row>
    <row r="635">
      <c r="A635" s="2" t="inlineStr">
        <is>
          <t>TXN100635</t>
        </is>
      </c>
      <c r="B635" s="2" t="inlineStr">
        <is>
          <t xml:space="preserve">  CUST0635 </t>
        </is>
      </c>
      <c r="C635" s="2" t="inlineStr">
        <is>
          <t>2026-06-01 15:35:00</t>
        </is>
      </c>
      <c r="D635" s="2" t="inlineStr">
        <is>
          <t>F</t>
        </is>
      </c>
      <c r="E635" s="2" t="n">
        <v>51</v>
      </c>
      <c r="F635" s="2" t="inlineStr">
        <is>
          <t>Checking</t>
        </is>
      </c>
      <c r="G635" s="2" t="inlineStr">
        <is>
          <t>Travel</t>
        </is>
      </c>
      <c r="H635" s="2" t="inlineStr">
        <is>
          <t>$1576.83</t>
        </is>
      </c>
      <c r="I635" s="2" t="n">
        <v>30991.84</v>
      </c>
      <c r="J635" s="2" t="inlineStr">
        <is>
          <t>Online Banking</t>
        </is>
      </c>
      <c r="K635" s="2" t="inlineStr">
        <is>
          <t>N</t>
        </is>
      </c>
    </row>
    <row r="636">
      <c r="A636" s="2" t="inlineStr">
        <is>
          <t>TXN100636</t>
        </is>
      </c>
      <c r="B636" s="2" t="inlineStr">
        <is>
          <t xml:space="preserve">  CUST0636 </t>
        </is>
      </c>
      <c r="C636" s="2" t="inlineStr">
        <is>
          <t>2026-06-01 07:04:00</t>
        </is>
      </c>
      <c r="D636" s="2" t="inlineStr">
        <is>
          <t>female</t>
        </is>
      </c>
      <c r="E636" s="2" t="n">
        <v>69</v>
      </c>
      <c r="F636" s="2" t="inlineStr">
        <is>
          <t>Checking</t>
        </is>
      </c>
      <c r="G636" s="2" t="inlineStr">
        <is>
          <t>Entertainment</t>
        </is>
      </c>
      <c r="H636" s="2" t="inlineStr">
        <is>
          <t>$5481.06</t>
        </is>
      </c>
      <c r="I636" s="2" t="n">
        <v>29012.9</v>
      </c>
      <c r="J636" s="2" t="inlineStr">
        <is>
          <t xml:space="preserve">Mobile App </t>
        </is>
      </c>
      <c r="K636" s="2" t="inlineStr">
        <is>
          <t>N</t>
        </is>
      </c>
    </row>
    <row r="637">
      <c r="A637" s="2" t="inlineStr">
        <is>
          <t>TXN100637</t>
        </is>
      </c>
      <c r="B637" s="2" t="inlineStr">
        <is>
          <t xml:space="preserve">  CUST0637 </t>
        </is>
      </c>
      <c r="C637" s="2" t="inlineStr">
        <is>
          <t>2026-06-01 21:26:00</t>
        </is>
      </c>
      <c r="D637" s="3" t="inlineStr"/>
      <c r="E637" s="2" t="n">
        <v>43</v>
      </c>
      <c r="F637" s="2" t="inlineStr">
        <is>
          <t>Checking</t>
        </is>
      </c>
      <c r="G637" s="2" t="inlineStr">
        <is>
          <t>GROCERIES</t>
        </is>
      </c>
      <c r="H637" s="2" t="inlineStr">
        <is>
          <t>$2572.7</t>
        </is>
      </c>
      <c r="I637" s="2" t="n">
        <v>29896.92</v>
      </c>
      <c r="J637" s="2" t="inlineStr">
        <is>
          <t xml:space="preserve">Mobile App </t>
        </is>
      </c>
      <c r="K637" s="2" t="inlineStr">
        <is>
          <t>N</t>
        </is>
      </c>
    </row>
    <row r="638">
      <c r="A638" s="2" t="inlineStr">
        <is>
          <t>TXN100638</t>
        </is>
      </c>
      <c r="B638" s="2" t="inlineStr">
        <is>
          <t xml:space="preserve">  CUST0638 </t>
        </is>
      </c>
      <c r="C638" s="2" t="inlineStr">
        <is>
          <t>2026-06-01 09:10:00</t>
        </is>
      </c>
      <c r="D638" s="2" t="inlineStr">
        <is>
          <t>Female</t>
        </is>
      </c>
      <c r="E638" s="2" t="n">
        <v>59</v>
      </c>
      <c r="F638" s="2" t="inlineStr">
        <is>
          <t>Checking</t>
        </is>
      </c>
      <c r="G638" s="2" t="inlineStr">
        <is>
          <t>Travel</t>
        </is>
      </c>
      <c r="H638" s="2" t="inlineStr">
        <is>
          <t>$1175.09</t>
        </is>
      </c>
      <c r="I638" s="2" t="n">
        <v>2721.44</v>
      </c>
      <c r="J638" s="2" t="inlineStr">
        <is>
          <t>Online Banking</t>
        </is>
      </c>
      <c r="K638" s="2" t="inlineStr">
        <is>
          <t>N</t>
        </is>
      </c>
    </row>
    <row r="639">
      <c r="A639" s="2" t="inlineStr">
        <is>
          <t>TXN100639</t>
        </is>
      </c>
      <c r="B639" s="2" t="inlineStr">
        <is>
          <t xml:space="preserve">  CUST0639 </t>
        </is>
      </c>
      <c r="C639" s="2" t="inlineStr">
        <is>
          <t>2026-06-01 06:43:00</t>
        </is>
      </c>
      <c r="D639" s="2" t="inlineStr">
        <is>
          <t>Female</t>
        </is>
      </c>
      <c r="E639" s="2" t="n">
        <v>29</v>
      </c>
      <c r="F639" s="2" t="inlineStr">
        <is>
          <t>Investment</t>
        </is>
      </c>
      <c r="G639" s="2" t="inlineStr">
        <is>
          <t>groceries</t>
        </is>
      </c>
      <c r="H639" s="2" t="inlineStr">
        <is>
          <t>$907.85</t>
        </is>
      </c>
      <c r="I639" s="2" t="n">
        <v>3199.63</v>
      </c>
      <c r="J639" s="2" t="inlineStr">
        <is>
          <t>Online Banking</t>
        </is>
      </c>
      <c r="K639" s="2" t="inlineStr">
        <is>
          <t>N</t>
        </is>
      </c>
    </row>
    <row r="640">
      <c r="A640" s="2" t="inlineStr">
        <is>
          <t>TXN100640</t>
        </is>
      </c>
      <c r="B640" s="2" t="inlineStr">
        <is>
          <t xml:space="preserve">  CUST0640 </t>
        </is>
      </c>
      <c r="C640" s="2" t="inlineStr">
        <is>
          <t>2026-06-01 09:00:00</t>
        </is>
      </c>
      <c r="D640" s="2" t="inlineStr">
        <is>
          <t>Female</t>
        </is>
      </c>
      <c r="E640" s="2" t="n">
        <v>64</v>
      </c>
      <c r="F640" s="2" t="inlineStr">
        <is>
          <t>Savings</t>
        </is>
      </c>
      <c r="G640" s="2" t="inlineStr">
        <is>
          <t>Entertainment</t>
        </is>
      </c>
      <c r="H640" s="2" t="inlineStr">
        <is>
          <t>$3605.99</t>
        </is>
      </c>
      <c r="I640" s="2" t="n">
        <v>1626.03</v>
      </c>
      <c r="J640" s="2" t="inlineStr">
        <is>
          <t>Online Banking</t>
        </is>
      </c>
      <c r="K640" s="2" t="inlineStr">
        <is>
          <t>N</t>
        </is>
      </c>
    </row>
    <row r="641">
      <c r="A641" s="2" t="inlineStr">
        <is>
          <t>TXN100641</t>
        </is>
      </c>
      <c r="B641" s="2" t="inlineStr">
        <is>
          <t xml:space="preserve">  CUST0641 </t>
        </is>
      </c>
      <c r="C641" s="2" t="inlineStr">
        <is>
          <t>2026-06-01 23:34:00</t>
        </is>
      </c>
      <c r="D641" s="2" t="inlineStr">
        <is>
          <t>F</t>
        </is>
      </c>
      <c r="E641" s="2" t="n">
        <v>33</v>
      </c>
      <c r="F641" s="2" t="inlineStr">
        <is>
          <t>Investment</t>
        </is>
      </c>
      <c r="G641" s="2" t="inlineStr">
        <is>
          <t>Travel</t>
        </is>
      </c>
      <c r="H641" s="2" t="inlineStr">
        <is>
          <t>$6005.34</t>
        </is>
      </c>
      <c r="I641" s="2" t="n">
        <v>27665.6</v>
      </c>
      <c r="J641" s="2" t="inlineStr">
        <is>
          <t>Online Banking</t>
        </is>
      </c>
      <c r="K641" s="2" t="inlineStr">
        <is>
          <t>N</t>
        </is>
      </c>
    </row>
    <row r="642">
      <c r="A642" s="2" t="inlineStr">
        <is>
          <t>TXN100642</t>
        </is>
      </c>
      <c r="B642" s="2" t="inlineStr">
        <is>
          <t xml:space="preserve">  CUST0642 </t>
        </is>
      </c>
      <c r="C642" s="2" t="inlineStr">
        <is>
          <t>2026-06-01 22:44:00</t>
        </is>
      </c>
      <c r="D642" s="2" t="inlineStr">
        <is>
          <t>M</t>
        </is>
      </c>
      <c r="E642" s="2" t="n">
        <v>44</v>
      </c>
      <c r="F642" s="2" t="inlineStr">
        <is>
          <t>Investment</t>
        </is>
      </c>
      <c r="G642" s="2" t="inlineStr">
        <is>
          <t>Travel</t>
        </is>
      </c>
      <c r="H642" s="2" t="inlineStr">
        <is>
          <t>$357.42</t>
        </is>
      </c>
      <c r="I642" s="2" t="n">
        <v>8930.82</v>
      </c>
      <c r="J642" s="2" t="inlineStr">
        <is>
          <t>Branch Office</t>
        </is>
      </c>
      <c r="K642" s="2" t="inlineStr">
        <is>
          <t>N</t>
        </is>
      </c>
    </row>
    <row r="643">
      <c r="A643" s="2" t="inlineStr">
        <is>
          <t>TXN100643</t>
        </is>
      </c>
      <c r="B643" s="2" t="inlineStr">
        <is>
          <t xml:space="preserve">  CUST0643 </t>
        </is>
      </c>
      <c r="C643" s="2" t="inlineStr">
        <is>
          <t>2026-06-01 06:50:00</t>
        </is>
      </c>
      <c r="D643" s="2" t="inlineStr">
        <is>
          <t>female</t>
        </is>
      </c>
      <c r="E643" s="2" t="n">
        <v>23</v>
      </c>
      <c r="F643" s="2" t="inlineStr">
        <is>
          <t>Checking</t>
        </is>
      </c>
      <c r="G643" s="2" t="inlineStr">
        <is>
          <t>groceries</t>
        </is>
      </c>
      <c r="H643" s="2" t="inlineStr">
        <is>
          <t>$542.12</t>
        </is>
      </c>
      <c r="I643" s="2" t="n">
        <v>33188.45</v>
      </c>
      <c r="J643" s="2" t="inlineStr">
        <is>
          <t>Branch Office</t>
        </is>
      </c>
      <c r="K643" s="2" t="inlineStr">
        <is>
          <t>N</t>
        </is>
      </c>
    </row>
    <row r="644">
      <c r="A644" s="2" t="inlineStr">
        <is>
          <t>TXN100644</t>
        </is>
      </c>
      <c r="B644" s="2" t="inlineStr">
        <is>
          <t xml:space="preserve">  CUST0644 </t>
        </is>
      </c>
      <c r="C644" s="2" t="inlineStr">
        <is>
          <t>2026-06-01 03:01:00</t>
        </is>
      </c>
      <c r="D644" s="2" t="inlineStr">
        <is>
          <t>female</t>
        </is>
      </c>
      <c r="E644" s="2" t="n">
        <v>75</v>
      </c>
      <c r="F644" s="2" t="inlineStr">
        <is>
          <t>Investment</t>
        </is>
      </c>
      <c r="G644" s="2" t="inlineStr">
        <is>
          <t>Utilities</t>
        </is>
      </c>
      <c r="H644" s="2" t="inlineStr">
        <is>
          <t>$1857.04</t>
        </is>
      </c>
      <c r="I644" s="2" t="n">
        <v>19344.71</v>
      </c>
      <c r="J644" s="2" t="inlineStr">
        <is>
          <t xml:space="preserve">Mobile App </t>
        </is>
      </c>
      <c r="K644" s="2" t="inlineStr">
        <is>
          <t>N</t>
        </is>
      </c>
    </row>
    <row r="645">
      <c r="A645" s="2" t="inlineStr">
        <is>
          <t>TXN100645</t>
        </is>
      </c>
      <c r="B645" s="2" t="inlineStr">
        <is>
          <t xml:space="preserve">  CUST0645 </t>
        </is>
      </c>
      <c r="C645" s="2" t="inlineStr">
        <is>
          <t>2026-06-01 10:31:00</t>
        </is>
      </c>
      <c r="D645" s="2" t="inlineStr">
        <is>
          <t>MALE</t>
        </is>
      </c>
      <c r="E645" s="2" t="n">
        <v>31</v>
      </c>
      <c r="F645" s="2" t="inlineStr">
        <is>
          <t>Savings</t>
        </is>
      </c>
      <c r="G645" s="2" t="inlineStr">
        <is>
          <t>Travel</t>
        </is>
      </c>
      <c r="H645" s="2" t="inlineStr">
        <is>
          <t>$7734.66</t>
        </is>
      </c>
      <c r="I645" s="2" t="n">
        <v>28254.03</v>
      </c>
      <c r="J645" s="2" t="inlineStr">
        <is>
          <t xml:space="preserve">Mobile App </t>
        </is>
      </c>
      <c r="K645" s="2" t="inlineStr">
        <is>
          <t>N</t>
        </is>
      </c>
    </row>
    <row r="646">
      <c r="A646" s="2" t="inlineStr">
        <is>
          <t>TXN100646</t>
        </is>
      </c>
      <c r="B646" s="2" t="inlineStr">
        <is>
          <t xml:space="preserve">  CUST0646 </t>
        </is>
      </c>
      <c r="C646" s="2" t="inlineStr">
        <is>
          <t>2026-06-01 16:19:00</t>
        </is>
      </c>
      <c r="D646" s="2" t="inlineStr">
        <is>
          <t>Female</t>
        </is>
      </c>
      <c r="E646" s="2" t="n">
        <v>51</v>
      </c>
      <c r="F646" s="2" t="inlineStr">
        <is>
          <t>Checking</t>
        </is>
      </c>
      <c r="G646" s="2" t="inlineStr">
        <is>
          <t>GROCERIES</t>
        </is>
      </c>
      <c r="H646" s="2" t="inlineStr">
        <is>
          <t>$156.79</t>
        </is>
      </c>
      <c r="I646" s="2" t="n">
        <v>34373.41</v>
      </c>
      <c r="J646" s="2" t="inlineStr">
        <is>
          <t>Branch Office</t>
        </is>
      </c>
      <c r="K646" s="2" t="inlineStr">
        <is>
          <t>N</t>
        </is>
      </c>
    </row>
    <row r="647">
      <c r="A647" s="2" t="inlineStr">
        <is>
          <t>TXN100647</t>
        </is>
      </c>
      <c r="B647" s="2" t="inlineStr">
        <is>
          <t xml:space="preserve">  CUST0647 </t>
        </is>
      </c>
      <c r="C647" s="2" t="inlineStr">
        <is>
          <t>2026-06-01 20:19:00</t>
        </is>
      </c>
      <c r="D647" s="2" t="inlineStr">
        <is>
          <t>F</t>
        </is>
      </c>
      <c r="E647" s="2" t="n">
        <v>52</v>
      </c>
      <c r="F647" s="2" t="inlineStr">
        <is>
          <t>Checking</t>
        </is>
      </c>
      <c r="G647" s="2" t="inlineStr">
        <is>
          <t>groceries</t>
        </is>
      </c>
      <c r="H647" s="2" t="inlineStr">
        <is>
          <t>$5010.08</t>
        </is>
      </c>
      <c r="I647" s="2" t="n">
        <v>43994.53</v>
      </c>
      <c r="J647" s="2" t="inlineStr">
        <is>
          <t xml:space="preserve">Mobile App </t>
        </is>
      </c>
      <c r="K647" s="2" t="inlineStr">
        <is>
          <t>N</t>
        </is>
      </c>
    </row>
    <row r="648">
      <c r="A648" s="2" t="inlineStr">
        <is>
          <t>TXN100648</t>
        </is>
      </c>
      <c r="B648" s="2" t="inlineStr">
        <is>
          <t xml:space="preserve">  CUST0648 </t>
        </is>
      </c>
      <c r="C648" s="2" t="inlineStr">
        <is>
          <t>2026-06-01 17:17:00</t>
        </is>
      </c>
      <c r="D648" s="2" t="inlineStr">
        <is>
          <t>F</t>
        </is>
      </c>
      <c r="E648" s="2" t="n">
        <v>29</v>
      </c>
      <c r="F648" s="2" t="inlineStr">
        <is>
          <t>Checking</t>
        </is>
      </c>
      <c r="G648" s="2" t="inlineStr">
        <is>
          <t>Utilities</t>
        </is>
      </c>
      <c r="H648" s="2" t="inlineStr">
        <is>
          <t>$5258.88</t>
        </is>
      </c>
      <c r="I648" s="2" t="n">
        <v>4845.85</v>
      </c>
      <c r="J648" s="2" t="inlineStr">
        <is>
          <t>ATM</t>
        </is>
      </c>
      <c r="K648" s="2" t="inlineStr">
        <is>
          <t>N</t>
        </is>
      </c>
    </row>
    <row r="649">
      <c r="A649" s="2" t="inlineStr">
        <is>
          <t>TXN100649</t>
        </is>
      </c>
      <c r="B649" s="2" t="inlineStr">
        <is>
          <t xml:space="preserve">  CUST0649 </t>
        </is>
      </c>
      <c r="C649" s="2" t="inlineStr">
        <is>
          <t>2026-06-01 16:43:00</t>
        </is>
      </c>
      <c r="D649" s="2" t="inlineStr">
        <is>
          <t>F</t>
        </is>
      </c>
      <c r="E649" s="2" t="n">
        <v>46</v>
      </c>
      <c r="F649" s="2" t="inlineStr">
        <is>
          <t>Savings</t>
        </is>
      </c>
      <c r="G649" s="2" t="inlineStr">
        <is>
          <t>Travel</t>
        </is>
      </c>
      <c r="H649" s="2" t="inlineStr">
        <is>
          <t>$1230.47</t>
        </is>
      </c>
      <c r="I649" s="2" t="n">
        <v>48541.59</v>
      </c>
      <c r="J649" s="2" t="inlineStr">
        <is>
          <t>Branch Office</t>
        </is>
      </c>
      <c r="K649" s="2" t="inlineStr">
        <is>
          <t>N</t>
        </is>
      </c>
    </row>
    <row r="650">
      <c r="A650" s="2" t="inlineStr">
        <is>
          <t>TXN100650</t>
        </is>
      </c>
      <c r="B650" s="2" t="inlineStr">
        <is>
          <t xml:space="preserve">  CUST0650 </t>
        </is>
      </c>
      <c r="C650" s="2" t="inlineStr">
        <is>
          <t>2026-06-01 14:34:00</t>
        </is>
      </c>
      <c r="D650" s="2" t="inlineStr">
        <is>
          <t>Male</t>
        </is>
      </c>
      <c r="E650" s="2" t="n">
        <v>33</v>
      </c>
      <c r="F650" s="2" t="inlineStr">
        <is>
          <t>Investment</t>
        </is>
      </c>
      <c r="G650" s="2" t="inlineStr">
        <is>
          <t>GROCERIES</t>
        </is>
      </c>
      <c r="H650" s="2" t="inlineStr">
        <is>
          <t>$4652.44</t>
        </is>
      </c>
      <c r="I650" s="2" t="n">
        <v>34360.41</v>
      </c>
      <c r="J650" s="2" t="inlineStr">
        <is>
          <t>Online Banking</t>
        </is>
      </c>
      <c r="K650" s="2" t="inlineStr">
        <is>
          <t>N</t>
        </is>
      </c>
    </row>
    <row r="651">
      <c r="A651" s="2" t="inlineStr">
        <is>
          <t>TXN100651</t>
        </is>
      </c>
      <c r="B651" s="2" t="inlineStr">
        <is>
          <t xml:space="preserve">  CUST0651 </t>
        </is>
      </c>
      <c r="C651" s="2" t="inlineStr">
        <is>
          <t>2026-06-01 04:19:00</t>
        </is>
      </c>
      <c r="D651" s="2" t="inlineStr">
        <is>
          <t>Male</t>
        </is>
      </c>
      <c r="E651" s="2" t="n">
        <v>47</v>
      </c>
      <c r="F651" s="2" t="inlineStr">
        <is>
          <t>Savings</t>
        </is>
      </c>
      <c r="G651" s="2" t="inlineStr">
        <is>
          <t>Travel</t>
        </is>
      </c>
      <c r="H651" s="2" t="inlineStr">
        <is>
          <t>$7337.73</t>
        </is>
      </c>
      <c r="I651" s="2" t="n">
        <v>16216.06</v>
      </c>
      <c r="J651" s="2" t="inlineStr">
        <is>
          <t xml:space="preserve">Mobile App </t>
        </is>
      </c>
      <c r="K651" s="2" t="inlineStr">
        <is>
          <t>N</t>
        </is>
      </c>
    </row>
    <row r="652">
      <c r="A652" s="2" t="inlineStr">
        <is>
          <t>TXN100652</t>
        </is>
      </c>
      <c r="B652" s="2" t="inlineStr">
        <is>
          <t xml:space="preserve">  CUST0652 </t>
        </is>
      </c>
      <c r="C652" s="2" t="inlineStr">
        <is>
          <t>2026-06-01 04:46:00</t>
        </is>
      </c>
      <c r="D652" s="2" t="inlineStr">
        <is>
          <t>M</t>
        </is>
      </c>
      <c r="E652" s="2" t="n">
        <v>68</v>
      </c>
      <c r="F652" s="2" t="inlineStr">
        <is>
          <t>Checking</t>
        </is>
      </c>
      <c r="G652" s="2" t="inlineStr">
        <is>
          <t>Utilities</t>
        </is>
      </c>
      <c r="H652" s="2" t="inlineStr">
        <is>
          <t>$7689.96</t>
        </is>
      </c>
      <c r="I652" s="2" t="n">
        <v>15515.73</v>
      </c>
      <c r="J652" s="2" t="inlineStr">
        <is>
          <t>Branch Office</t>
        </is>
      </c>
      <c r="K652" s="2" t="inlineStr">
        <is>
          <t>N</t>
        </is>
      </c>
    </row>
    <row r="653">
      <c r="A653" s="2" t="inlineStr">
        <is>
          <t>TXN100653</t>
        </is>
      </c>
      <c r="B653" s="2" t="inlineStr">
        <is>
          <t xml:space="preserve">  CUST0653 </t>
        </is>
      </c>
      <c r="C653" s="2" t="inlineStr">
        <is>
          <t>2026-06-01 06:06:00</t>
        </is>
      </c>
      <c r="D653" s="2" t="inlineStr">
        <is>
          <t>Male</t>
        </is>
      </c>
      <c r="E653" s="2" t="n">
        <v>31</v>
      </c>
      <c r="F653" s="2" t="inlineStr">
        <is>
          <t>Savings</t>
        </is>
      </c>
      <c r="G653" s="2" t="inlineStr">
        <is>
          <t>Travel</t>
        </is>
      </c>
      <c r="H653" s="2" t="inlineStr">
        <is>
          <t>$4939.4</t>
        </is>
      </c>
      <c r="I653" s="2" t="n">
        <v>30477.42</v>
      </c>
      <c r="J653" s="2" t="inlineStr">
        <is>
          <t>Online Banking</t>
        </is>
      </c>
      <c r="K653" s="2" t="inlineStr">
        <is>
          <t>N</t>
        </is>
      </c>
    </row>
    <row r="654">
      <c r="A654" s="2" t="inlineStr">
        <is>
          <t>TXN100654</t>
        </is>
      </c>
      <c r="B654" s="2" t="inlineStr">
        <is>
          <t xml:space="preserve">  CUST0654 </t>
        </is>
      </c>
      <c r="C654" s="2" t="inlineStr">
        <is>
          <t>2026-06-01 19:14:00</t>
        </is>
      </c>
      <c r="D654" s="2" t="inlineStr">
        <is>
          <t>F</t>
        </is>
      </c>
      <c r="E654" s="2" t="n">
        <v>63</v>
      </c>
      <c r="F654" s="2" t="inlineStr">
        <is>
          <t>Savings</t>
        </is>
      </c>
      <c r="G654" s="2" t="inlineStr">
        <is>
          <t>Entertainment</t>
        </is>
      </c>
      <c r="H654" s="2" t="inlineStr">
        <is>
          <t>$645.01</t>
        </is>
      </c>
      <c r="I654" s="2" t="n">
        <v>39101.4</v>
      </c>
      <c r="J654" s="2" t="inlineStr">
        <is>
          <t>Online Banking</t>
        </is>
      </c>
      <c r="K654" s="2" t="inlineStr">
        <is>
          <t>N</t>
        </is>
      </c>
    </row>
    <row r="655">
      <c r="A655" s="2" t="inlineStr">
        <is>
          <t>TXN100655</t>
        </is>
      </c>
      <c r="B655" s="2" t="inlineStr">
        <is>
          <t xml:space="preserve">  CUST0655 </t>
        </is>
      </c>
      <c r="C655" s="2" t="inlineStr">
        <is>
          <t>2026-06-01 16:54:00</t>
        </is>
      </c>
      <c r="D655" s="2" t="n"/>
      <c r="E655" s="2" t="n">
        <v>65</v>
      </c>
      <c r="F655" s="2" t="inlineStr">
        <is>
          <t>Investment</t>
        </is>
      </c>
      <c r="G655" s="2" t="inlineStr">
        <is>
          <t>Entertainment</t>
        </is>
      </c>
      <c r="H655" s="2" t="inlineStr">
        <is>
          <t>$1479.97</t>
        </is>
      </c>
      <c r="I655" s="2" t="n">
        <v>19679.28</v>
      </c>
      <c r="J655" s="2" t="inlineStr">
        <is>
          <t>ATM</t>
        </is>
      </c>
      <c r="K655" s="2" t="inlineStr">
        <is>
          <t>N</t>
        </is>
      </c>
    </row>
    <row r="656">
      <c r="A656" s="2" t="inlineStr">
        <is>
          <t>TXN100656</t>
        </is>
      </c>
      <c r="B656" s="2" t="inlineStr">
        <is>
          <t xml:space="preserve">  CUST0656 </t>
        </is>
      </c>
      <c r="C656" s="2" t="inlineStr">
        <is>
          <t>2026-06-01 04:10:00</t>
        </is>
      </c>
      <c r="D656" s="2" t="inlineStr">
        <is>
          <t>F</t>
        </is>
      </c>
      <c r="E656" s="2" t="n">
        <v>34</v>
      </c>
      <c r="F656" s="2" t="inlineStr">
        <is>
          <t>Savings</t>
        </is>
      </c>
      <c r="G656" s="2" t="inlineStr">
        <is>
          <t>Utilities</t>
        </is>
      </c>
      <c r="H656" s="2" t="inlineStr">
        <is>
          <t>$6118.67</t>
        </is>
      </c>
      <c r="I656" s="2" t="n">
        <v>1243.21</v>
      </c>
      <c r="J656" s="2" t="inlineStr">
        <is>
          <t>Branch Office</t>
        </is>
      </c>
      <c r="K656" s="2" t="inlineStr">
        <is>
          <t>N</t>
        </is>
      </c>
    </row>
    <row r="657">
      <c r="A657" s="2" t="inlineStr">
        <is>
          <t>TXN100657</t>
        </is>
      </c>
      <c r="B657" s="2" t="inlineStr">
        <is>
          <t xml:space="preserve">  CUST0657 </t>
        </is>
      </c>
      <c r="C657" s="2" t="inlineStr">
        <is>
          <t>2026-06-01 13:14:00</t>
        </is>
      </c>
      <c r="D657" s="2" t="inlineStr">
        <is>
          <t>F</t>
        </is>
      </c>
      <c r="E657" s="2" t="n">
        <v>68</v>
      </c>
      <c r="F657" s="2" t="inlineStr">
        <is>
          <t>Savings</t>
        </is>
      </c>
      <c r="G657" s="2" t="inlineStr">
        <is>
          <t>groceries</t>
        </is>
      </c>
      <c r="H657" s="2" t="inlineStr">
        <is>
          <t>$1424.85</t>
        </is>
      </c>
      <c r="I657" s="2" t="n">
        <v>47757.6</v>
      </c>
      <c r="J657" s="2" t="inlineStr">
        <is>
          <t>ATM</t>
        </is>
      </c>
      <c r="K657" s="2" t="inlineStr">
        <is>
          <t>N</t>
        </is>
      </c>
    </row>
    <row r="658">
      <c r="A658" s="2" t="inlineStr">
        <is>
          <t>TXN100658</t>
        </is>
      </c>
      <c r="B658" s="2" t="inlineStr">
        <is>
          <t xml:space="preserve">  CUST0658 </t>
        </is>
      </c>
      <c r="C658" s="2" t="inlineStr">
        <is>
          <t>2026-06-01 19:31:00</t>
        </is>
      </c>
      <c r="D658" s="2" t="inlineStr">
        <is>
          <t>Female</t>
        </is>
      </c>
      <c r="E658" s="2" t="n">
        <v>75</v>
      </c>
      <c r="F658" s="2" t="inlineStr">
        <is>
          <t>Checking</t>
        </is>
      </c>
      <c r="G658" s="2" t="inlineStr">
        <is>
          <t>GROCERIES</t>
        </is>
      </c>
      <c r="H658" s="2" t="inlineStr">
        <is>
          <t>$3426.17</t>
        </is>
      </c>
      <c r="I658" s="2" t="n">
        <v>38922.63</v>
      </c>
      <c r="J658" s="2" t="inlineStr">
        <is>
          <t>ATM</t>
        </is>
      </c>
      <c r="K658" s="2" t="inlineStr">
        <is>
          <t>N</t>
        </is>
      </c>
    </row>
    <row r="659">
      <c r="A659" s="2" t="inlineStr">
        <is>
          <t>TXN100659</t>
        </is>
      </c>
      <c r="B659" s="2" t="inlineStr">
        <is>
          <t xml:space="preserve">  CUST0659 </t>
        </is>
      </c>
      <c r="C659" s="2" t="inlineStr">
        <is>
          <t>2026-06-01 23:20:00</t>
        </is>
      </c>
      <c r="D659" s="3" t="inlineStr"/>
      <c r="E659" s="2" t="n">
        <v>59</v>
      </c>
      <c r="F659" s="2" t="inlineStr">
        <is>
          <t>Investment</t>
        </is>
      </c>
      <c r="G659" s="2" t="inlineStr">
        <is>
          <t>Travel</t>
        </is>
      </c>
      <c r="H659" s="2" t="inlineStr">
        <is>
          <t>$4754.51</t>
        </is>
      </c>
      <c r="I659" s="2" t="n">
        <v>26498.91</v>
      </c>
      <c r="J659" s="2" t="inlineStr">
        <is>
          <t xml:space="preserve">Mobile App </t>
        </is>
      </c>
      <c r="K659" s="2" t="inlineStr">
        <is>
          <t>N</t>
        </is>
      </c>
    </row>
    <row r="660">
      <c r="A660" s="2" t="inlineStr">
        <is>
          <t>TXN100660</t>
        </is>
      </c>
      <c r="B660" s="2" t="inlineStr">
        <is>
          <t xml:space="preserve">  CUST0660 </t>
        </is>
      </c>
      <c r="C660" s="2" t="inlineStr">
        <is>
          <t>2026-06-01 16:06:00</t>
        </is>
      </c>
      <c r="D660" s="2" t="n"/>
      <c r="E660" s="2" t="n">
        <v>49</v>
      </c>
      <c r="F660" s="2" t="inlineStr">
        <is>
          <t>Savings</t>
        </is>
      </c>
      <c r="G660" s="2" t="inlineStr">
        <is>
          <t>GROCERIES</t>
        </is>
      </c>
      <c r="H660" s="2" t="inlineStr">
        <is>
          <t>$4154.43</t>
        </is>
      </c>
      <c r="I660" s="2" t="n">
        <v>20082.75</v>
      </c>
      <c r="J660" s="2" t="inlineStr">
        <is>
          <t xml:space="preserve">Mobile App </t>
        </is>
      </c>
      <c r="K660" s="2" t="inlineStr">
        <is>
          <t>N</t>
        </is>
      </c>
    </row>
    <row r="661">
      <c r="A661" s="2" t="inlineStr">
        <is>
          <t>TXN100661</t>
        </is>
      </c>
      <c r="B661" s="2" t="inlineStr">
        <is>
          <t xml:space="preserve">  CUST0661 </t>
        </is>
      </c>
      <c r="C661" s="2" t="inlineStr">
        <is>
          <t>2026-06-01 17:24:00</t>
        </is>
      </c>
      <c r="D661" s="2" t="inlineStr">
        <is>
          <t>M</t>
        </is>
      </c>
      <c r="E661" s="2" t="n">
        <v>32</v>
      </c>
      <c r="F661" s="2" t="inlineStr">
        <is>
          <t>Checking</t>
        </is>
      </c>
      <c r="G661" s="2" t="inlineStr">
        <is>
          <t>Utilities</t>
        </is>
      </c>
      <c r="H661" s="2" t="inlineStr">
        <is>
          <t>$3190.34</t>
        </is>
      </c>
      <c r="I661" s="2" t="n">
        <v>15575.43</v>
      </c>
      <c r="J661" s="2" t="inlineStr">
        <is>
          <t>Branch Office</t>
        </is>
      </c>
      <c r="K661" s="2" t="inlineStr">
        <is>
          <t>N</t>
        </is>
      </c>
    </row>
    <row r="662">
      <c r="A662" s="2" t="inlineStr">
        <is>
          <t>TXN100662</t>
        </is>
      </c>
      <c r="B662" s="2" t="inlineStr">
        <is>
          <t xml:space="preserve">  CUST0662 </t>
        </is>
      </c>
      <c r="C662" s="2" t="inlineStr">
        <is>
          <t>2026-06-01 14:10:00</t>
        </is>
      </c>
      <c r="D662" s="3" t="inlineStr"/>
      <c r="E662" s="2" t="n">
        <v>38</v>
      </c>
      <c r="F662" s="2" t="inlineStr">
        <is>
          <t>Investment</t>
        </is>
      </c>
      <c r="G662" s="2" t="inlineStr">
        <is>
          <t>groceries</t>
        </is>
      </c>
      <c r="H662" s="2" t="inlineStr">
        <is>
          <t>$5522.72</t>
        </is>
      </c>
      <c r="I662" s="2" t="n">
        <v>45231.94</v>
      </c>
      <c r="J662" s="2" t="inlineStr">
        <is>
          <t>ATM</t>
        </is>
      </c>
      <c r="K662" s="2" t="inlineStr">
        <is>
          <t>N</t>
        </is>
      </c>
    </row>
    <row r="663">
      <c r="A663" s="2" t="inlineStr">
        <is>
          <t>TXN100663</t>
        </is>
      </c>
      <c r="B663" s="2" t="inlineStr">
        <is>
          <t xml:space="preserve">  CUST0663 </t>
        </is>
      </c>
      <c r="C663" s="2" t="inlineStr">
        <is>
          <t>2026-06-01 20:28:00</t>
        </is>
      </c>
      <c r="D663" s="2" t="inlineStr">
        <is>
          <t>MALE</t>
        </is>
      </c>
      <c r="E663" s="2" t="n">
        <v>66</v>
      </c>
      <c r="F663" s="2" t="inlineStr">
        <is>
          <t>Investment</t>
        </is>
      </c>
      <c r="G663" s="2" t="inlineStr">
        <is>
          <t>groceries</t>
        </is>
      </c>
      <c r="H663" s="2" t="inlineStr">
        <is>
          <t>$1446.37</t>
        </is>
      </c>
      <c r="I663" s="2" t="n">
        <v>29479.66</v>
      </c>
      <c r="J663" s="2" t="inlineStr">
        <is>
          <t>Online Banking</t>
        </is>
      </c>
      <c r="K663" s="2" t="inlineStr">
        <is>
          <t>N</t>
        </is>
      </c>
    </row>
    <row r="664">
      <c r="A664" s="2" t="inlineStr">
        <is>
          <t>TXN100664</t>
        </is>
      </c>
      <c r="B664" s="2" t="inlineStr">
        <is>
          <t xml:space="preserve">  CUST0664 </t>
        </is>
      </c>
      <c r="C664" s="2" t="inlineStr">
        <is>
          <t>2026-06-01 12:26:00</t>
        </is>
      </c>
      <c r="D664" s="2" t="inlineStr">
        <is>
          <t>Female</t>
        </is>
      </c>
      <c r="E664" s="2" t="n">
        <v>48</v>
      </c>
      <c r="F664" s="2" t="inlineStr">
        <is>
          <t>Savings</t>
        </is>
      </c>
      <c r="G664" s="2" t="inlineStr">
        <is>
          <t>GROCERIES</t>
        </is>
      </c>
      <c r="H664" s="2" t="inlineStr">
        <is>
          <t>$3634.91</t>
        </is>
      </c>
      <c r="I664" s="2" t="n">
        <v>44882.57</v>
      </c>
      <c r="J664" s="2" t="inlineStr">
        <is>
          <t>Online Banking</t>
        </is>
      </c>
      <c r="K664" s="2" t="inlineStr">
        <is>
          <t>N</t>
        </is>
      </c>
    </row>
    <row r="665">
      <c r="A665" s="2" t="inlineStr">
        <is>
          <t>TXN100665</t>
        </is>
      </c>
      <c r="B665" s="2" t="inlineStr">
        <is>
          <t xml:space="preserve">  CUST0665 </t>
        </is>
      </c>
      <c r="C665" s="2" t="inlineStr">
        <is>
          <t>2026-06-01 14:05:00</t>
        </is>
      </c>
      <c r="D665" s="2" t="inlineStr">
        <is>
          <t>female</t>
        </is>
      </c>
      <c r="E665" s="2" t="n">
        <v>40</v>
      </c>
      <c r="F665" s="2" t="inlineStr">
        <is>
          <t>Investment</t>
        </is>
      </c>
      <c r="G665" s="2" t="inlineStr">
        <is>
          <t>GROCERIES</t>
        </is>
      </c>
      <c r="H665" s="2" t="inlineStr">
        <is>
          <t>$5749.81</t>
        </is>
      </c>
      <c r="I665" s="2" t="n">
        <v>6615.44</v>
      </c>
      <c r="J665" s="2" t="inlineStr">
        <is>
          <t xml:space="preserve">Mobile App </t>
        </is>
      </c>
      <c r="K665" s="2" t="inlineStr">
        <is>
          <t>N</t>
        </is>
      </c>
    </row>
    <row r="666">
      <c r="A666" s="2" t="inlineStr">
        <is>
          <t>TXN100666</t>
        </is>
      </c>
      <c r="B666" s="2" t="inlineStr">
        <is>
          <t xml:space="preserve">  CUST0666 </t>
        </is>
      </c>
      <c r="C666" s="2" t="inlineStr">
        <is>
          <t>2026-06-01 22:28:00</t>
        </is>
      </c>
      <c r="D666" s="2" t="inlineStr">
        <is>
          <t>Female</t>
        </is>
      </c>
      <c r="E666" s="2" t="n">
        <v>25</v>
      </c>
      <c r="F666" s="2" t="inlineStr">
        <is>
          <t>Investment</t>
        </is>
      </c>
      <c r="G666" s="2" t="inlineStr">
        <is>
          <t>Utilities</t>
        </is>
      </c>
      <c r="H666" s="2" t="inlineStr">
        <is>
          <t>$5817.72</t>
        </is>
      </c>
      <c r="I666" s="2" t="n">
        <v>48771.98</v>
      </c>
      <c r="J666" s="2" t="inlineStr">
        <is>
          <t>Online Banking</t>
        </is>
      </c>
      <c r="K666" s="2" t="inlineStr">
        <is>
          <t>N</t>
        </is>
      </c>
    </row>
    <row r="667">
      <c r="A667" s="2" t="inlineStr">
        <is>
          <t>TXN100667</t>
        </is>
      </c>
      <c r="B667" s="2" t="inlineStr">
        <is>
          <t xml:space="preserve">  CUST0667 </t>
        </is>
      </c>
      <c r="C667" s="2" t="inlineStr">
        <is>
          <t>2026-06-01 12:35:00</t>
        </is>
      </c>
      <c r="D667" s="3" t="inlineStr"/>
      <c r="E667" s="2" t="n">
        <v>22</v>
      </c>
      <c r="F667" s="2" t="inlineStr">
        <is>
          <t>Savings</t>
        </is>
      </c>
      <c r="G667" s="2" t="inlineStr">
        <is>
          <t>Entertainment</t>
        </is>
      </c>
      <c r="H667" s="2" t="inlineStr">
        <is>
          <t>$4528.28</t>
        </is>
      </c>
      <c r="I667" s="2" t="n">
        <v>33146.75</v>
      </c>
      <c r="J667" s="2" t="inlineStr">
        <is>
          <t>Online Banking</t>
        </is>
      </c>
      <c r="K667" s="2" t="inlineStr">
        <is>
          <t>N</t>
        </is>
      </c>
    </row>
    <row r="668">
      <c r="A668" s="2" t="inlineStr">
        <is>
          <t>TXN100668</t>
        </is>
      </c>
      <c r="B668" s="2" t="inlineStr">
        <is>
          <t xml:space="preserve">  CUST0668 </t>
        </is>
      </c>
      <c r="C668" s="2" t="inlineStr">
        <is>
          <t>2026-06-01 05:55:00</t>
        </is>
      </c>
      <c r="D668" s="2" t="inlineStr">
        <is>
          <t>Male</t>
        </is>
      </c>
      <c r="E668" s="2" t="n">
        <v>31</v>
      </c>
      <c r="F668" s="2" t="inlineStr">
        <is>
          <t>Investment</t>
        </is>
      </c>
      <c r="G668" s="2" t="inlineStr">
        <is>
          <t>groceries</t>
        </is>
      </c>
      <c r="H668" s="2" t="inlineStr">
        <is>
          <t>$3362.46</t>
        </is>
      </c>
      <c r="I668" s="2" t="n">
        <v>15821.16</v>
      </c>
      <c r="J668" s="2" t="inlineStr">
        <is>
          <t>ATM</t>
        </is>
      </c>
      <c r="K668" s="2" t="inlineStr">
        <is>
          <t>N</t>
        </is>
      </c>
    </row>
    <row r="669">
      <c r="A669" s="2" t="inlineStr">
        <is>
          <t>TXN100669</t>
        </is>
      </c>
      <c r="B669" s="2" t="inlineStr">
        <is>
          <t xml:space="preserve">  CUST0669 </t>
        </is>
      </c>
      <c r="C669" s="2" t="inlineStr">
        <is>
          <t>2026-06-01 09:40:00</t>
        </is>
      </c>
      <c r="D669" s="2" t="inlineStr">
        <is>
          <t>Male</t>
        </is>
      </c>
      <c r="E669" s="2" t="n">
        <v>27</v>
      </c>
      <c r="F669" s="2" t="inlineStr">
        <is>
          <t>Savings</t>
        </is>
      </c>
      <c r="G669" s="2" t="inlineStr">
        <is>
          <t>GROCERIES</t>
        </is>
      </c>
      <c r="H669" s="2" t="inlineStr">
        <is>
          <t>$38.23</t>
        </is>
      </c>
      <c r="I669" s="2" t="n">
        <v>38387.09</v>
      </c>
      <c r="J669" s="2" t="inlineStr">
        <is>
          <t xml:space="preserve">Mobile App </t>
        </is>
      </c>
      <c r="K669" s="2" t="inlineStr">
        <is>
          <t>N</t>
        </is>
      </c>
    </row>
    <row r="670">
      <c r="A670" s="2" t="inlineStr">
        <is>
          <t>TXN100670</t>
        </is>
      </c>
      <c r="B670" s="2" t="inlineStr">
        <is>
          <t xml:space="preserve">  CUST0670 </t>
        </is>
      </c>
      <c r="C670" s="2" t="inlineStr">
        <is>
          <t>2026-06-01 14:31:00</t>
        </is>
      </c>
      <c r="D670" s="2" t="n"/>
      <c r="E670" s="2" t="n">
        <v>54</v>
      </c>
      <c r="F670" s="2" t="inlineStr">
        <is>
          <t>Savings</t>
        </is>
      </c>
      <c r="G670" s="2" t="inlineStr">
        <is>
          <t>Travel</t>
        </is>
      </c>
      <c r="H670" s="2" t="inlineStr">
        <is>
          <t>$7062.8</t>
        </is>
      </c>
      <c r="I670" s="2" t="n">
        <v>12274.98</v>
      </c>
      <c r="J670" s="2" t="inlineStr">
        <is>
          <t>ATM</t>
        </is>
      </c>
      <c r="K670" s="2" t="inlineStr">
        <is>
          <t>N</t>
        </is>
      </c>
    </row>
    <row r="671">
      <c r="A671" s="2" t="inlineStr">
        <is>
          <t>TXN100671</t>
        </is>
      </c>
      <c r="B671" s="2" t="inlineStr">
        <is>
          <t xml:space="preserve">  CUST0671 </t>
        </is>
      </c>
      <c r="C671" s="2" t="inlineStr">
        <is>
          <t>2026-06-01 14:05:00</t>
        </is>
      </c>
      <c r="D671" s="2" t="inlineStr">
        <is>
          <t>M</t>
        </is>
      </c>
      <c r="E671" s="2" t="n">
        <v>35</v>
      </c>
      <c r="F671" s="2" t="inlineStr">
        <is>
          <t>Investment</t>
        </is>
      </c>
      <c r="G671" s="2" t="inlineStr">
        <is>
          <t>Entertainment</t>
        </is>
      </c>
      <c r="H671" s="2" t="inlineStr">
        <is>
          <t>$4961.93</t>
        </is>
      </c>
      <c r="I671" s="2" t="n">
        <v>28098.66</v>
      </c>
      <c r="J671" s="2" t="inlineStr">
        <is>
          <t>Online Banking</t>
        </is>
      </c>
      <c r="K671" s="2" t="inlineStr">
        <is>
          <t>N</t>
        </is>
      </c>
    </row>
    <row r="672">
      <c r="A672" s="2" t="inlineStr">
        <is>
          <t>TXN100672</t>
        </is>
      </c>
      <c r="B672" s="2" t="inlineStr">
        <is>
          <t xml:space="preserve">  CUST0672 </t>
        </is>
      </c>
      <c r="C672" s="2" t="inlineStr">
        <is>
          <t>2026-06-01 01:11:00</t>
        </is>
      </c>
      <c r="D672" s="2" t="inlineStr">
        <is>
          <t>Male</t>
        </is>
      </c>
      <c r="E672" s="2" t="n">
        <v>23</v>
      </c>
      <c r="F672" s="2" t="inlineStr">
        <is>
          <t>Investment</t>
        </is>
      </c>
      <c r="G672" s="2" t="inlineStr">
        <is>
          <t>Entertainment</t>
        </is>
      </c>
      <c r="H672" s="2" t="inlineStr">
        <is>
          <t>$303.4</t>
        </is>
      </c>
      <c r="I672" s="2" t="n">
        <v>42764.55</v>
      </c>
      <c r="J672" s="2" t="inlineStr">
        <is>
          <t>Branch Office</t>
        </is>
      </c>
      <c r="K672" s="2" t="inlineStr">
        <is>
          <t>N</t>
        </is>
      </c>
    </row>
    <row r="673">
      <c r="A673" s="2" t="inlineStr">
        <is>
          <t>TXN100673</t>
        </is>
      </c>
      <c r="B673" s="2" t="inlineStr">
        <is>
          <t xml:space="preserve">  CUST0673 </t>
        </is>
      </c>
      <c r="C673" s="2" t="inlineStr">
        <is>
          <t>2026-06-01 10:58:00</t>
        </is>
      </c>
      <c r="D673" s="2" t="inlineStr">
        <is>
          <t>MALE</t>
        </is>
      </c>
      <c r="E673" s="2" t="n">
        <v>23</v>
      </c>
      <c r="F673" s="2" t="inlineStr">
        <is>
          <t>Savings</t>
        </is>
      </c>
      <c r="G673" s="2" t="inlineStr">
        <is>
          <t>Utilities</t>
        </is>
      </c>
      <c r="H673" s="2" t="inlineStr">
        <is>
          <t>$7949.94</t>
        </is>
      </c>
      <c r="I673" s="2" t="n">
        <v>8486.09</v>
      </c>
      <c r="J673" s="2" t="inlineStr">
        <is>
          <t>Branch Office</t>
        </is>
      </c>
      <c r="K673" s="2" t="inlineStr">
        <is>
          <t>Y</t>
        </is>
      </c>
    </row>
    <row r="674">
      <c r="A674" s="2" t="inlineStr">
        <is>
          <t>TXN100674</t>
        </is>
      </c>
      <c r="B674" s="2" t="inlineStr">
        <is>
          <t xml:space="preserve">  CUST0674 </t>
        </is>
      </c>
      <c r="C674" s="2" t="inlineStr">
        <is>
          <t>2026-06-01 22:44:00</t>
        </is>
      </c>
      <c r="D674" s="2" t="inlineStr">
        <is>
          <t>Male</t>
        </is>
      </c>
      <c r="E674" s="2" t="n">
        <v>49</v>
      </c>
      <c r="F674" s="2" t="inlineStr">
        <is>
          <t>Investment</t>
        </is>
      </c>
      <c r="G674" s="2" t="inlineStr">
        <is>
          <t>Travel</t>
        </is>
      </c>
      <c r="H674" s="2" t="inlineStr">
        <is>
          <t>$2887.91</t>
        </is>
      </c>
      <c r="I674" s="2" t="n">
        <v>2274.08</v>
      </c>
      <c r="J674" s="2" t="inlineStr">
        <is>
          <t>Branch Office</t>
        </is>
      </c>
      <c r="K674" s="2" t="inlineStr">
        <is>
          <t>N</t>
        </is>
      </c>
    </row>
    <row r="675">
      <c r="A675" s="2" t="inlineStr">
        <is>
          <t>TXN100675</t>
        </is>
      </c>
      <c r="B675" s="2" t="inlineStr">
        <is>
          <t xml:space="preserve">  CUST0675 </t>
        </is>
      </c>
      <c r="C675" s="2" t="inlineStr">
        <is>
          <t>2026-06-01 10:23:00</t>
        </is>
      </c>
      <c r="D675" s="3" t="inlineStr"/>
      <c r="E675" s="2" t="n">
        <v>72</v>
      </c>
      <c r="F675" s="2" t="inlineStr">
        <is>
          <t>Savings</t>
        </is>
      </c>
      <c r="G675" s="2" t="inlineStr">
        <is>
          <t>Utilities</t>
        </is>
      </c>
      <c r="H675" s="2" t="inlineStr">
        <is>
          <t>$6748.04</t>
        </is>
      </c>
      <c r="I675" s="2" t="n">
        <v>3713.83</v>
      </c>
      <c r="J675" s="2" t="inlineStr">
        <is>
          <t>ATM</t>
        </is>
      </c>
      <c r="K675" s="2" t="inlineStr">
        <is>
          <t>N</t>
        </is>
      </c>
    </row>
    <row r="676">
      <c r="A676" s="2" t="inlineStr">
        <is>
          <t>TXN100676</t>
        </is>
      </c>
      <c r="B676" s="2" t="inlineStr">
        <is>
          <t xml:space="preserve">  CUST0676 </t>
        </is>
      </c>
      <c r="C676" s="2" t="inlineStr">
        <is>
          <t>2026-06-01 04:07:00</t>
        </is>
      </c>
      <c r="D676" s="2" t="inlineStr">
        <is>
          <t>female</t>
        </is>
      </c>
      <c r="E676" s="2" t="n">
        <v>41</v>
      </c>
      <c r="F676" s="2" t="inlineStr">
        <is>
          <t>Investment</t>
        </is>
      </c>
      <c r="G676" s="2" t="inlineStr">
        <is>
          <t>Utilities</t>
        </is>
      </c>
      <c r="H676" s="2" t="inlineStr">
        <is>
          <t>$4201.92</t>
        </is>
      </c>
      <c r="I676" s="2" t="n">
        <v>34943.56</v>
      </c>
      <c r="J676" s="2" t="inlineStr">
        <is>
          <t xml:space="preserve">Mobile App </t>
        </is>
      </c>
      <c r="K676" s="2" t="inlineStr">
        <is>
          <t>N</t>
        </is>
      </c>
    </row>
    <row r="677">
      <c r="A677" s="2" t="inlineStr">
        <is>
          <t>TXN100677</t>
        </is>
      </c>
      <c r="B677" s="2" t="inlineStr">
        <is>
          <t xml:space="preserve">  CUST0677 </t>
        </is>
      </c>
      <c r="C677" s="2" t="inlineStr">
        <is>
          <t>2026-06-01 03:36:00</t>
        </is>
      </c>
      <c r="D677" s="2" t="inlineStr">
        <is>
          <t>MALE</t>
        </is>
      </c>
      <c r="E677" s="2" t="n">
        <v>50</v>
      </c>
      <c r="F677" s="2" t="inlineStr">
        <is>
          <t>Investment</t>
        </is>
      </c>
      <c r="G677" s="2" t="inlineStr">
        <is>
          <t>Travel</t>
        </is>
      </c>
      <c r="H677" s="2" t="inlineStr">
        <is>
          <t>$7471.79</t>
        </is>
      </c>
      <c r="I677" s="2" t="n">
        <v>49320.78</v>
      </c>
      <c r="J677" s="2" t="inlineStr">
        <is>
          <t>Branch Office</t>
        </is>
      </c>
      <c r="K677" s="2" t="inlineStr">
        <is>
          <t>N</t>
        </is>
      </c>
    </row>
    <row r="678">
      <c r="A678" s="2" t="inlineStr">
        <is>
          <t>TXN100678</t>
        </is>
      </c>
      <c r="B678" s="2" t="inlineStr">
        <is>
          <t xml:space="preserve">  CUST0678 </t>
        </is>
      </c>
      <c r="C678" s="2" t="inlineStr">
        <is>
          <t>2026-06-01 10:16:00</t>
        </is>
      </c>
      <c r="D678" s="2" t="inlineStr">
        <is>
          <t>Female</t>
        </is>
      </c>
      <c r="E678" s="2" t="n">
        <v>28</v>
      </c>
      <c r="F678" s="2" t="inlineStr">
        <is>
          <t>Investment</t>
        </is>
      </c>
      <c r="G678" s="2" t="inlineStr">
        <is>
          <t>Travel</t>
        </is>
      </c>
      <c r="H678" s="2" t="inlineStr">
        <is>
          <t>$3976.21</t>
        </is>
      </c>
      <c r="I678" s="2" t="n">
        <v>36594.64</v>
      </c>
      <c r="J678" s="2" t="inlineStr">
        <is>
          <t>ATM</t>
        </is>
      </c>
      <c r="K678" s="2" t="inlineStr">
        <is>
          <t>N</t>
        </is>
      </c>
    </row>
    <row r="679">
      <c r="A679" s="2" t="inlineStr">
        <is>
          <t>TXN100679</t>
        </is>
      </c>
      <c r="B679" s="2" t="inlineStr">
        <is>
          <t xml:space="preserve">  CUST0679 </t>
        </is>
      </c>
      <c r="C679" s="2" t="inlineStr">
        <is>
          <t>2026-06-01 15:51:00</t>
        </is>
      </c>
      <c r="D679" s="2" t="inlineStr">
        <is>
          <t>Male</t>
        </is>
      </c>
      <c r="E679" s="2" t="n">
        <v>59</v>
      </c>
      <c r="F679" s="2" t="inlineStr">
        <is>
          <t>Savings</t>
        </is>
      </c>
      <c r="G679" s="2" t="inlineStr">
        <is>
          <t>Entertainment</t>
        </is>
      </c>
      <c r="H679" s="2" t="inlineStr">
        <is>
          <t>$7834.27</t>
        </is>
      </c>
      <c r="I679" s="2" t="n">
        <v>578.26</v>
      </c>
      <c r="J679" s="2" t="inlineStr">
        <is>
          <t xml:space="preserve">Mobile App </t>
        </is>
      </c>
      <c r="K679" s="2" t="inlineStr">
        <is>
          <t>N</t>
        </is>
      </c>
    </row>
    <row r="680">
      <c r="A680" s="2" t="inlineStr">
        <is>
          <t>TXN100680</t>
        </is>
      </c>
      <c r="B680" s="2" t="inlineStr">
        <is>
          <t xml:space="preserve">  CUST0680 </t>
        </is>
      </c>
      <c r="C680" s="2" t="inlineStr">
        <is>
          <t>2026-06-01 03:47:00</t>
        </is>
      </c>
      <c r="D680" s="2" t="inlineStr">
        <is>
          <t>F</t>
        </is>
      </c>
      <c r="E680" s="2" t="n">
        <v>71</v>
      </c>
      <c r="F680" s="2" t="inlineStr">
        <is>
          <t>Investment</t>
        </is>
      </c>
      <c r="G680" s="2" t="inlineStr">
        <is>
          <t>Utilities</t>
        </is>
      </c>
      <c r="H680" s="2" t="inlineStr">
        <is>
          <t>$3318.19</t>
        </is>
      </c>
      <c r="I680" s="2" t="n">
        <v>17022.72</v>
      </c>
      <c r="J680" s="2" t="inlineStr">
        <is>
          <t>Online Banking</t>
        </is>
      </c>
      <c r="K680" s="2" t="inlineStr">
        <is>
          <t>N</t>
        </is>
      </c>
    </row>
    <row r="681">
      <c r="A681" s="2" t="inlineStr">
        <is>
          <t>TXN100681</t>
        </is>
      </c>
      <c r="B681" s="2" t="inlineStr">
        <is>
          <t xml:space="preserve">  CUST0681 </t>
        </is>
      </c>
      <c r="C681" s="2" t="inlineStr">
        <is>
          <t>2026-06-01 00:40:00</t>
        </is>
      </c>
      <c r="D681" s="2" t="inlineStr">
        <is>
          <t>F</t>
        </is>
      </c>
      <c r="E681" s="2" t="n">
        <v>64</v>
      </c>
      <c r="F681" s="2" t="inlineStr">
        <is>
          <t>Checking</t>
        </is>
      </c>
      <c r="G681" s="2" t="inlineStr">
        <is>
          <t>Entertainment</t>
        </is>
      </c>
      <c r="H681" s="2" t="inlineStr">
        <is>
          <t>$6323.66</t>
        </is>
      </c>
      <c r="I681" s="2" t="n">
        <v>15734.74</v>
      </c>
      <c r="J681" s="2" t="inlineStr">
        <is>
          <t>Branch Office</t>
        </is>
      </c>
      <c r="K681" s="2" t="inlineStr">
        <is>
          <t>N</t>
        </is>
      </c>
    </row>
    <row r="682">
      <c r="A682" s="2" t="inlineStr">
        <is>
          <t>TXN100682</t>
        </is>
      </c>
      <c r="B682" s="2" t="inlineStr">
        <is>
          <t xml:space="preserve">  CUST0682 </t>
        </is>
      </c>
      <c r="C682" s="2" t="inlineStr">
        <is>
          <t>2026-06-01 00:07:00</t>
        </is>
      </c>
      <c r="D682" s="2" t="inlineStr">
        <is>
          <t>Female</t>
        </is>
      </c>
      <c r="E682" s="2" t="n">
        <v>41</v>
      </c>
      <c r="F682" s="2" t="inlineStr">
        <is>
          <t>Checking</t>
        </is>
      </c>
      <c r="G682" s="2" t="inlineStr">
        <is>
          <t>Travel</t>
        </is>
      </c>
      <c r="H682" s="2" t="inlineStr">
        <is>
          <t>$4931.79</t>
        </is>
      </c>
      <c r="I682" s="2" t="n">
        <v>1941.31</v>
      </c>
      <c r="J682" s="2" t="inlineStr">
        <is>
          <t>Online Banking</t>
        </is>
      </c>
      <c r="K682" s="2" t="inlineStr">
        <is>
          <t>N</t>
        </is>
      </c>
    </row>
    <row r="683">
      <c r="A683" s="2" t="inlineStr">
        <is>
          <t>TXN100683</t>
        </is>
      </c>
      <c r="B683" s="2" t="inlineStr">
        <is>
          <t xml:space="preserve">  CUST0683 </t>
        </is>
      </c>
      <c r="C683" s="2" t="inlineStr">
        <is>
          <t>2026-06-01 06:21:00</t>
        </is>
      </c>
      <c r="D683" s="2" t="inlineStr">
        <is>
          <t>Female</t>
        </is>
      </c>
      <c r="E683" s="2" t="n">
        <v>63</v>
      </c>
      <c r="F683" s="2" t="inlineStr">
        <is>
          <t>Checking</t>
        </is>
      </c>
      <c r="G683" s="2" t="inlineStr">
        <is>
          <t>Utilities</t>
        </is>
      </c>
      <c r="H683" s="2" t="inlineStr">
        <is>
          <t>$6380.06</t>
        </is>
      </c>
      <c r="I683" s="2" t="n">
        <v>32459.78</v>
      </c>
      <c r="J683" s="2" t="inlineStr">
        <is>
          <t>ATM</t>
        </is>
      </c>
      <c r="K683" s="2" t="inlineStr">
        <is>
          <t>N</t>
        </is>
      </c>
    </row>
    <row r="684">
      <c r="A684" s="2" t="inlineStr">
        <is>
          <t>TXN100684</t>
        </is>
      </c>
      <c r="B684" s="2" t="inlineStr">
        <is>
          <t xml:space="preserve">  CUST0684 </t>
        </is>
      </c>
      <c r="C684" s="2" t="inlineStr">
        <is>
          <t>2026-06-01 04:40:00</t>
        </is>
      </c>
      <c r="D684" s="2" t="n"/>
      <c r="E684" s="2" t="n">
        <v>75</v>
      </c>
      <c r="F684" s="2" t="inlineStr">
        <is>
          <t>Investment</t>
        </is>
      </c>
      <c r="G684" s="2" t="inlineStr">
        <is>
          <t>Entertainment</t>
        </is>
      </c>
      <c r="H684" s="2" t="inlineStr">
        <is>
          <t>$3705.14</t>
        </is>
      </c>
      <c r="I684" s="2" t="n">
        <v>40801.25</v>
      </c>
      <c r="J684" s="2" t="inlineStr">
        <is>
          <t xml:space="preserve">Mobile App </t>
        </is>
      </c>
      <c r="K684" s="2" t="inlineStr">
        <is>
          <t>N</t>
        </is>
      </c>
    </row>
    <row r="685">
      <c r="A685" s="2" t="inlineStr">
        <is>
          <t>TXN100685</t>
        </is>
      </c>
      <c r="B685" s="2" t="inlineStr">
        <is>
          <t xml:space="preserve">  CUST0685 </t>
        </is>
      </c>
      <c r="C685" s="2" t="inlineStr">
        <is>
          <t>2026-06-01 16:19:00</t>
        </is>
      </c>
      <c r="D685" s="2" t="inlineStr">
        <is>
          <t>Female</t>
        </is>
      </c>
      <c r="E685" s="2" t="n">
        <v>55</v>
      </c>
      <c r="F685" s="2" t="inlineStr">
        <is>
          <t>Investment</t>
        </is>
      </c>
      <c r="G685" s="2" t="inlineStr">
        <is>
          <t>groceries</t>
        </is>
      </c>
      <c r="H685" s="2" t="inlineStr">
        <is>
          <t>$1674.02</t>
        </is>
      </c>
      <c r="I685" s="2" t="n">
        <v>34431.92</v>
      </c>
      <c r="J685" s="2" t="inlineStr">
        <is>
          <t>Branch Office</t>
        </is>
      </c>
      <c r="K685" s="2" t="inlineStr">
        <is>
          <t>N</t>
        </is>
      </c>
    </row>
    <row r="686">
      <c r="A686" s="2" t="inlineStr">
        <is>
          <t>TXN100686</t>
        </is>
      </c>
      <c r="B686" s="2" t="inlineStr">
        <is>
          <t xml:space="preserve">  CUST0686 </t>
        </is>
      </c>
      <c r="C686" s="2" t="inlineStr">
        <is>
          <t>2026-06-01 02:09:00</t>
        </is>
      </c>
      <c r="D686" s="2" t="inlineStr">
        <is>
          <t>female</t>
        </is>
      </c>
      <c r="E686" s="2" t="n">
        <v>73</v>
      </c>
      <c r="F686" s="2" t="inlineStr">
        <is>
          <t>Savings</t>
        </is>
      </c>
      <c r="G686" s="2" t="inlineStr">
        <is>
          <t>Entertainment</t>
        </is>
      </c>
      <c r="H686" s="2" t="inlineStr">
        <is>
          <t>$7869.11</t>
        </is>
      </c>
      <c r="I686" s="2" t="n">
        <v>31512.29</v>
      </c>
      <c r="J686" s="2" t="inlineStr">
        <is>
          <t>Online Banking</t>
        </is>
      </c>
      <c r="K686" s="2" t="inlineStr">
        <is>
          <t>Y</t>
        </is>
      </c>
    </row>
    <row r="687">
      <c r="A687" s="2" t="inlineStr">
        <is>
          <t>TXN100687</t>
        </is>
      </c>
      <c r="B687" s="2" t="inlineStr">
        <is>
          <t xml:space="preserve">  CUST0687 </t>
        </is>
      </c>
      <c r="C687" s="2" t="inlineStr">
        <is>
          <t>2026-06-01 12:11:00</t>
        </is>
      </c>
      <c r="D687" s="2" t="inlineStr">
        <is>
          <t>MALE</t>
        </is>
      </c>
      <c r="E687" s="2" t="n">
        <v>75</v>
      </c>
      <c r="F687" s="2" t="inlineStr">
        <is>
          <t>Checking</t>
        </is>
      </c>
      <c r="G687" s="2" t="inlineStr">
        <is>
          <t>Entertainment</t>
        </is>
      </c>
      <c r="H687" s="2" t="inlineStr">
        <is>
          <t>$5681.62</t>
        </is>
      </c>
      <c r="I687" s="2" t="n">
        <v>13939.12</v>
      </c>
      <c r="J687" s="2" t="inlineStr">
        <is>
          <t xml:space="preserve">Mobile App </t>
        </is>
      </c>
      <c r="K687" s="2" t="inlineStr">
        <is>
          <t>N</t>
        </is>
      </c>
    </row>
    <row r="688">
      <c r="A688" s="2" t="inlineStr">
        <is>
          <t>TXN100688</t>
        </is>
      </c>
      <c r="B688" s="2" t="inlineStr">
        <is>
          <t xml:space="preserve">  CUST0688 </t>
        </is>
      </c>
      <c r="C688" s="2" t="inlineStr">
        <is>
          <t>2026-06-01 15:56:00</t>
        </is>
      </c>
      <c r="D688" s="2" t="inlineStr">
        <is>
          <t>F</t>
        </is>
      </c>
      <c r="E688" s="2" t="n">
        <v>43</v>
      </c>
      <c r="F688" s="2" t="inlineStr">
        <is>
          <t>Checking</t>
        </is>
      </c>
      <c r="G688" s="2" t="inlineStr">
        <is>
          <t>Entertainment</t>
        </is>
      </c>
      <c r="H688" s="2" t="inlineStr">
        <is>
          <t>$1736.96</t>
        </is>
      </c>
      <c r="I688" s="2" t="n">
        <v>15464.76</v>
      </c>
      <c r="J688" s="2" t="inlineStr">
        <is>
          <t xml:space="preserve">Mobile App </t>
        </is>
      </c>
      <c r="K688" s="2" t="inlineStr">
        <is>
          <t>N</t>
        </is>
      </c>
    </row>
    <row r="689">
      <c r="A689" s="2" t="inlineStr">
        <is>
          <t>TXN100689</t>
        </is>
      </c>
      <c r="B689" s="2" t="inlineStr">
        <is>
          <t xml:space="preserve">  CUST0689 </t>
        </is>
      </c>
      <c r="C689" s="2" t="inlineStr">
        <is>
          <t>2026-06-01 11:50:00</t>
        </is>
      </c>
      <c r="D689" s="2" t="inlineStr">
        <is>
          <t>M</t>
        </is>
      </c>
      <c r="E689" s="2" t="n">
        <v>69</v>
      </c>
      <c r="F689" s="2" t="inlineStr">
        <is>
          <t>Savings</t>
        </is>
      </c>
      <c r="G689" s="2" t="inlineStr">
        <is>
          <t>groceries</t>
        </is>
      </c>
      <c r="H689" s="2" t="inlineStr">
        <is>
          <t>$3555.76</t>
        </is>
      </c>
      <c r="I689" s="2" t="n">
        <v>1734.27</v>
      </c>
      <c r="J689" s="2" t="inlineStr">
        <is>
          <t>ATM</t>
        </is>
      </c>
      <c r="K689" s="2" t="inlineStr">
        <is>
          <t>N</t>
        </is>
      </c>
    </row>
    <row r="690">
      <c r="A690" s="2" t="inlineStr">
        <is>
          <t>TXN100690</t>
        </is>
      </c>
      <c r="B690" s="2" t="inlineStr">
        <is>
          <t xml:space="preserve">  CUST0690 </t>
        </is>
      </c>
      <c r="C690" s="2" t="inlineStr">
        <is>
          <t>2026-06-01 16:09:00</t>
        </is>
      </c>
      <c r="D690" s="2" t="inlineStr">
        <is>
          <t>F</t>
        </is>
      </c>
      <c r="E690" s="2" t="n">
        <v>41</v>
      </c>
      <c r="F690" s="2" t="inlineStr">
        <is>
          <t>Checking</t>
        </is>
      </c>
      <c r="G690" s="2" t="inlineStr">
        <is>
          <t>Travel</t>
        </is>
      </c>
      <c r="H690" s="2" t="inlineStr">
        <is>
          <t>$2489.77</t>
        </is>
      </c>
      <c r="I690" s="2" t="n">
        <v>16703.23</v>
      </c>
      <c r="J690" s="2" t="inlineStr">
        <is>
          <t xml:space="preserve">Mobile App </t>
        </is>
      </c>
      <c r="K690" s="2" t="inlineStr">
        <is>
          <t>N</t>
        </is>
      </c>
    </row>
    <row r="691">
      <c r="A691" s="2" t="inlineStr">
        <is>
          <t>TXN100691</t>
        </is>
      </c>
      <c r="B691" s="2" t="inlineStr">
        <is>
          <t xml:space="preserve">  CUST0691 </t>
        </is>
      </c>
      <c r="C691" s="2" t="inlineStr">
        <is>
          <t>2026-06-01 16:43:00</t>
        </is>
      </c>
      <c r="D691" s="2" t="inlineStr">
        <is>
          <t>Male</t>
        </is>
      </c>
      <c r="E691" s="2" t="n">
        <v>33</v>
      </c>
      <c r="F691" s="2" t="inlineStr">
        <is>
          <t>Investment</t>
        </is>
      </c>
      <c r="G691" s="2" t="inlineStr">
        <is>
          <t>groceries</t>
        </is>
      </c>
      <c r="H691" s="2" t="inlineStr">
        <is>
          <t>$3680.35</t>
        </is>
      </c>
      <c r="I691" s="2" t="n">
        <v>35827.03</v>
      </c>
      <c r="J691" s="2" t="inlineStr">
        <is>
          <t xml:space="preserve">Mobile App </t>
        </is>
      </c>
      <c r="K691" s="2" t="inlineStr">
        <is>
          <t>N</t>
        </is>
      </c>
    </row>
    <row r="692">
      <c r="A692" s="2" t="inlineStr">
        <is>
          <t>TXN100692</t>
        </is>
      </c>
      <c r="B692" s="2" t="inlineStr">
        <is>
          <t xml:space="preserve">  CUST0692 </t>
        </is>
      </c>
      <c r="C692" s="2" t="inlineStr">
        <is>
          <t>2026-06-01 00:19:00</t>
        </is>
      </c>
      <c r="D692" s="2" t="inlineStr">
        <is>
          <t>M</t>
        </is>
      </c>
      <c r="E692" s="2" t="n">
        <v>63</v>
      </c>
      <c r="F692" s="2" t="inlineStr">
        <is>
          <t>Investment</t>
        </is>
      </c>
      <c r="G692" s="2" t="inlineStr">
        <is>
          <t>groceries</t>
        </is>
      </c>
      <c r="H692" s="2" t="inlineStr">
        <is>
          <t>$2672.99</t>
        </is>
      </c>
      <c r="I692" s="2" t="n">
        <v>44514.7</v>
      </c>
      <c r="J692" s="2" t="inlineStr">
        <is>
          <t xml:space="preserve">Mobile App </t>
        </is>
      </c>
      <c r="K692" s="2" t="inlineStr">
        <is>
          <t>N</t>
        </is>
      </c>
    </row>
    <row r="693">
      <c r="A693" s="2" t="inlineStr">
        <is>
          <t>TXN100693</t>
        </is>
      </c>
      <c r="B693" s="2" t="inlineStr">
        <is>
          <t xml:space="preserve">  CUST0693 </t>
        </is>
      </c>
      <c r="C693" s="2" t="inlineStr">
        <is>
          <t>2026-06-01 16:49:00</t>
        </is>
      </c>
      <c r="D693" s="2" t="inlineStr">
        <is>
          <t>female</t>
        </is>
      </c>
      <c r="E693" s="2" t="n">
        <v>21</v>
      </c>
      <c r="F693" s="2" t="inlineStr">
        <is>
          <t>Investment</t>
        </is>
      </c>
      <c r="G693" s="2" t="inlineStr">
        <is>
          <t>Entertainment</t>
        </is>
      </c>
      <c r="H693" s="2" t="inlineStr">
        <is>
          <t>$5114.42</t>
        </is>
      </c>
      <c r="I693" s="2" t="n">
        <v>10887.36</v>
      </c>
      <c r="J693" s="2" t="inlineStr">
        <is>
          <t>Online Banking</t>
        </is>
      </c>
      <c r="K693" s="2" t="inlineStr">
        <is>
          <t>N</t>
        </is>
      </c>
    </row>
    <row r="694">
      <c r="A694" s="2" t="inlineStr">
        <is>
          <t>TXN100694</t>
        </is>
      </c>
      <c r="B694" s="2" t="inlineStr">
        <is>
          <t xml:space="preserve">  CUST0694 </t>
        </is>
      </c>
      <c r="C694" s="2" t="inlineStr">
        <is>
          <t>2026-06-01 06:18:00</t>
        </is>
      </c>
      <c r="D694" s="2" t="inlineStr">
        <is>
          <t>female</t>
        </is>
      </c>
      <c r="E694" s="2" t="n">
        <v>54</v>
      </c>
      <c r="F694" s="2" t="inlineStr">
        <is>
          <t>Checking</t>
        </is>
      </c>
      <c r="G694" s="2" t="inlineStr">
        <is>
          <t>Utilities</t>
        </is>
      </c>
      <c r="H694" s="2" t="inlineStr">
        <is>
          <t>$5372.28</t>
        </is>
      </c>
      <c r="I694" s="2" t="n">
        <v>13996.38</v>
      </c>
      <c r="J694" s="2" t="inlineStr">
        <is>
          <t>Online Banking</t>
        </is>
      </c>
      <c r="K694" s="2" t="inlineStr">
        <is>
          <t>N</t>
        </is>
      </c>
    </row>
    <row r="695">
      <c r="A695" s="2" t="inlineStr">
        <is>
          <t>TXN100695</t>
        </is>
      </c>
      <c r="B695" s="2" t="inlineStr">
        <is>
          <t xml:space="preserve">  CUST0695 </t>
        </is>
      </c>
      <c r="C695" s="2" t="inlineStr">
        <is>
          <t>2026-06-01 08:07:00</t>
        </is>
      </c>
      <c r="D695" s="2" t="inlineStr">
        <is>
          <t>M</t>
        </is>
      </c>
      <c r="E695" s="2" t="n">
        <v>59</v>
      </c>
      <c r="F695" s="2" t="inlineStr">
        <is>
          <t>Investment</t>
        </is>
      </c>
      <c r="G695" s="2" t="inlineStr">
        <is>
          <t>Travel</t>
        </is>
      </c>
      <c r="H695" s="2" t="inlineStr">
        <is>
          <t>$827.98</t>
        </is>
      </c>
      <c r="I695" s="2" t="n">
        <v>27355.17</v>
      </c>
      <c r="J695" s="2" t="inlineStr">
        <is>
          <t>Branch Office</t>
        </is>
      </c>
      <c r="K695" s="2" t="inlineStr">
        <is>
          <t>N</t>
        </is>
      </c>
    </row>
    <row r="696">
      <c r="A696" s="2" t="inlineStr">
        <is>
          <t>TXN100696</t>
        </is>
      </c>
      <c r="B696" s="2" t="inlineStr">
        <is>
          <t xml:space="preserve">  CUST0696 </t>
        </is>
      </c>
      <c r="C696" s="2" t="inlineStr">
        <is>
          <t>2026-06-01 08:09:00</t>
        </is>
      </c>
      <c r="D696" s="2" t="inlineStr">
        <is>
          <t>female</t>
        </is>
      </c>
      <c r="E696" s="2" t="n">
        <v>56</v>
      </c>
      <c r="F696" s="2" t="inlineStr">
        <is>
          <t>Savings</t>
        </is>
      </c>
      <c r="G696" s="2" t="inlineStr">
        <is>
          <t>GROCERIES</t>
        </is>
      </c>
      <c r="H696" s="2" t="inlineStr">
        <is>
          <t>$579.23</t>
        </is>
      </c>
      <c r="I696" s="2" t="n">
        <v>30856.51</v>
      </c>
      <c r="J696" s="2" t="inlineStr">
        <is>
          <t>Branch Office</t>
        </is>
      </c>
      <c r="K696" s="2" t="inlineStr">
        <is>
          <t>N</t>
        </is>
      </c>
    </row>
    <row r="697">
      <c r="A697" s="2" t="inlineStr">
        <is>
          <t>TXN100697</t>
        </is>
      </c>
      <c r="B697" s="2" t="inlineStr">
        <is>
          <t xml:space="preserve">  CUST0697 </t>
        </is>
      </c>
      <c r="C697" s="2" t="inlineStr">
        <is>
          <t>2026-06-01 17:28:00</t>
        </is>
      </c>
      <c r="D697" s="2" t="inlineStr">
        <is>
          <t>M</t>
        </is>
      </c>
      <c r="E697" s="2" t="n">
        <v>28</v>
      </c>
      <c r="F697" s="2" t="inlineStr">
        <is>
          <t>Savings</t>
        </is>
      </c>
      <c r="G697" s="2" t="inlineStr">
        <is>
          <t>Utilities</t>
        </is>
      </c>
      <c r="H697" s="2" t="inlineStr">
        <is>
          <t>$7227.31</t>
        </is>
      </c>
      <c r="I697" s="2" t="n">
        <v>2997.57</v>
      </c>
      <c r="J697" s="2" t="inlineStr">
        <is>
          <t>ATM</t>
        </is>
      </c>
      <c r="K697" s="2" t="inlineStr">
        <is>
          <t>N</t>
        </is>
      </c>
    </row>
    <row r="698">
      <c r="A698" s="2" t="inlineStr">
        <is>
          <t>TXN100698</t>
        </is>
      </c>
      <c r="B698" s="2" t="inlineStr">
        <is>
          <t xml:space="preserve">  CUST0698 </t>
        </is>
      </c>
      <c r="C698" s="2" t="inlineStr">
        <is>
          <t>2026-06-01 13:25:00</t>
        </is>
      </c>
      <c r="D698" s="2" t="inlineStr">
        <is>
          <t>Male</t>
        </is>
      </c>
      <c r="E698" s="2" t="n">
        <v>65</v>
      </c>
      <c r="F698" s="2" t="inlineStr">
        <is>
          <t>Investment</t>
        </is>
      </c>
      <c r="G698" s="2" t="inlineStr">
        <is>
          <t>Travel</t>
        </is>
      </c>
      <c r="H698" s="2" t="inlineStr">
        <is>
          <t>$5039.47</t>
        </is>
      </c>
      <c r="I698" s="2" t="n">
        <v>34661.18</v>
      </c>
      <c r="J698" s="2" t="inlineStr">
        <is>
          <t>ATM</t>
        </is>
      </c>
      <c r="K698" s="2" t="inlineStr">
        <is>
          <t>N</t>
        </is>
      </c>
    </row>
    <row r="699">
      <c r="A699" s="2" t="inlineStr">
        <is>
          <t>TXN100699</t>
        </is>
      </c>
      <c r="B699" s="2" t="inlineStr">
        <is>
          <t xml:space="preserve">  CUST0699 </t>
        </is>
      </c>
      <c r="C699" s="2" t="inlineStr">
        <is>
          <t>2026-06-01 19:22:00</t>
        </is>
      </c>
      <c r="D699" s="2" t="inlineStr">
        <is>
          <t>female</t>
        </is>
      </c>
      <c r="E699" s="2" t="n">
        <v>41</v>
      </c>
      <c r="F699" s="2" t="inlineStr">
        <is>
          <t>Savings</t>
        </is>
      </c>
      <c r="G699" s="2" t="inlineStr">
        <is>
          <t>Travel</t>
        </is>
      </c>
      <c r="H699" s="2" t="inlineStr">
        <is>
          <t>$637.58</t>
        </is>
      </c>
      <c r="I699" s="2" t="n">
        <v>46177.81</v>
      </c>
      <c r="J699" s="2" t="inlineStr">
        <is>
          <t>ATM</t>
        </is>
      </c>
      <c r="K699" s="2" t="inlineStr">
        <is>
          <t>N</t>
        </is>
      </c>
    </row>
    <row r="700">
      <c r="A700" s="2" t="inlineStr">
        <is>
          <t>TXN100700</t>
        </is>
      </c>
      <c r="B700" s="2" t="inlineStr">
        <is>
          <t xml:space="preserve">  CUST0700 </t>
        </is>
      </c>
      <c r="C700" s="2" t="inlineStr">
        <is>
          <t>2026-06-01 18:08:00</t>
        </is>
      </c>
      <c r="D700" s="2" t="inlineStr">
        <is>
          <t>MALE</t>
        </is>
      </c>
      <c r="E700" s="2" t="n">
        <v>72</v>
      </c>
      <c r="F700" s="2" t="inlineStr">
        <is>
          <t>Investment</t>
        </is>
      </c>
      <c r="G700" s="2" t="inlineStr">
        <is>
          <t>Utilities</t>
        </is>
      </c>
      <c r="H700" s="2" t="inlineStr">
        <is>
          <t>$787.13</t>
        </is>
      </c>
      <c r="I700" s="2" t="n">
        <v>15864.39</v>
      </c>
      <c r="J700" s="2" t="inlineStr">
        <is>
          <t>ATM</t>
        </is>
      </c>
      <c r="K700" s="2" t="inlineStr">
        <is>
          <t>N</t>
        </is>
      </c>
    </row>
    <row r="701">
      <c r="A701" s="2" t="inlineStr">
        <is>
          <t>TXN100701</t>
        </is>
      </c>
      <c r="B701" s="2" t="inlineStr">
        <is>
          <t xml:space="preserve">  CUST0701 </t>
        </is>
      </c>
      <c r="C701" s="2" t="inlineStr">
        <is>
          <t>2026-06-01 15:14:00</t>
        </is>
      </c>
      <c r="D701" s="2" t="inlineStr">
        <is>
          <t>F</t>
        </is>
      </c>
      <c r="E701" s="2" t="n">
        <v>29</v>
      </c>
      <c r="F701" s="2" t="inlineStr">
        <is>
          <t>Investment</t>
        </is>
      </c>
      <c r="G701" s="2" t="inlineStr">
        <is>
          <t>Entertainment</t>
        </is>
      </c>
      <c r="H701" s="2" t="inlineStr">
        <is>
          <t>$7303.76</t>
        </is>
      </c>
      <c r="I701" s="2" t="n">
        <v>19907.81</v>
      </c>
      <c r="J701" s="2" t="inlineStr">
        <is>
          <t>Branch Office</t>
        </is>
      </c>
      <c r="K701" s="2" t="inlineStr">
        <is>
          <t>Y</t>
        </is>
      </c>
    </row>
    <row r="702">
      <c r="A702" s="2" t="inlineStr">
        <is>
          <t>TXN100702</t>
        </is>
      </c>
      <c r="B702" s="2" t="inlineStr">
        <is>
          <t xml:space="preserve">  CUST0702 </t>
        </is>
      </c>
      <c r="C702" s="2" t="inlineStr">
        <is>
          <t>2026-06-01 10:29:00</t>
        </is>
      </c>
      <c r="D702" s="2" t="n"/>
      <c r="E702" s="2" t="n">
        <v>21</v>
      </c>
      <c r="F702" s="2" t="inlineStr">
        <is>
          <t>Savings</t>
        </is>
      </c>
      <c r="G702" s="2" t="inlineStr">
        <is>
          <t>Utilities</t>
        </is>
      </c>
      <c r="H702" s="2" t="inlineStr">
        <is>
          <t>$911.97</t>
        </is>
      </c>
      <c r="I702" s="2" t="n">
        <v>24193.28</v>
      </c>
      <c r="J702" s="2" t="inlineStr">
        <is>
          <t>Online Banking</t>
        </is>
      </c>
      <c r="K702" s="2" t="inlineStr">
        <is>
          <t>N</t>
        </is>
      </c>
    </row>
    <row r="703">
      <c r="A703" s="2" t="inlineStr">
        <is>
          <t>TXN100703</t>
        </is>
      </c>
      <c r="B703" s="2" t="inlineStr">
        <is>
          <t xml:space="preserve">  CUST0703 </t>
        </is>
      </c>
      <c r="C703" s="2" t="inlineStr">
        <is>
          <t>2026-06-01 09:49:00</t>
        </is>
      </c>
      <c r="D703" s="2" t="inlineStr">
        <is>
          <t>Female</t>
        </is>
      </c>
      <c r="E703" s="2" t="n">
        <v>58</v>
      </c>
      <c r="F703" s="2" t="inlineStr">
        <is>
          <t>Investment</t>
        </is>
      </c>
      <c r="G703" s="2" t="inlineStr">
        <is>
          <t>GROCERIES</t>
        </is>
      </c>
      <c r="H703" s="2" t="inlineStr">
        <is>
          <t>$4068.52</t>
        </is>
      </c>
      <c r="I703" s="2" t="n">
        <v>20581.46</v>
      </c>
      <c r="J703" s="2" t="inlineStr">
        <is>
          <t xml:space="preserve">Mobile App </t>
        </is>
      </c>
      <c r="K703" s="2" t="inlineStr">
        <is>
          <t>N</t>
        </is>
      </c>
    </row>
    <row r="704">
      <c r="A704" s="2" t="inlineStr">
        <is>
          <t>TXN100704</t>
        </is>
      </c>
      <c r="B704" s="2" t="inlineStr">
        <is>
          <t xml:space="preserve">  CUST0704 </t>
        </is>
      </c>
      <c r="C704" s="2" t="inlineStr">
        <is>
          <t>2026-06-01 10:35:00</t>
        </is>
      </c>
      <c r="D704" s="2" t="inlineStr">
        <is>
          <t>MALE</t>
        </is>
      </c>
      <c r="E704" s="2" t="n">
        <v>70</v>
      </c>
      <c r="F704" s="2" t="inlineStr">
        <is>
          <t>Checking</t>
        </is>
      </c>
      <c r="G704" s="2" t="inlineStr">
        <is>
          <t>Travel</t>
        </is>
      </c>
      <c r="H704" s="2" t="inlineStr">
        <is>
          <t>$3693.19</t>
        </is>
      </c>
      <c r="I704" s="2" t="n">
        <v>29731.53</v>
      </c>
      <c r="J704" s="2" t="inlineStr">
        <is>
          <t>Online Banking</t>
        </is>
      </c>
      <c r="K704" s="2" t="inlineStr">
        <is>
          <t>N</t>
        </is>
      </c>
    </row>
    <row r="705">
      <c r="A705" s="2" t="inlineStr">
        <is>
          <t>TXN100705</t>
        </is>
      </c>
      <c r="B705" s="2" t="inlineStr">
        <is>
          <t xml:space="preserve">  CUST0705 </t>
        </is>
      </c>
      <c r="C705" s="2" t="inlineStr">
        <is>
          <t>2026-06-01 19:15:00</t>
        </is>
      </c>
      <c r="D705" s="2" t="inlineStr">
        <is>
          <t>Male</t>
        </is>
      </c>
      <c r="E705" s="2" t="n">
        <v>50</v>
      </c>
      <c r="F705" s="2" t="inlineStr">
        <is>
          <t>Checking</t>
        </is>
      </c>
      <c r="G705" s="2" t="inlineStr">
        <is>
          <t>groceries</t>
        </is>
      </c>
      <c r="H705" s="2" t="inlineStr">
        <is>
          <t>$2732.31</t>
        </is>
      </c>
      <c r="I705" s="2" t="n">
        <v>40788.83</v>
      </c>
      <c r="J705" s="2" t="inlineStr">
        <is>
          <t>ATM</t>
        </is>
      </c>
      <c r="K705" s="2" t="inlineStr">
        <is>
          <t>N</t>
        </is>
      </c>
    </row>
    <row r="706">
      <c r="A706" s="2" t="inlineStr">
        <is>
          <t>TXN100706</t>
        </is>
      </c>
      <c r="B706" s="2" t="inlineStr">
        <is>
          <t xml:space="preserve">  CUST0706 </t>
        </is>
      </c>
      <c r="C706" s="2" t="inlineStr">
        <is>
          <t>2026-06-01 13:36:00</t>
        </is>
      </c>
      <c r="D706" s="2" t="inlineStr">
        <is>
          <t>Female</t>
        </is>
      </c>
      <c r="E706" s="2" t="n">
        <v>54</v>
      </c>
      <c r="F706" s="2" t="inlineStr">
        <is>
          <t>Investment</t>
        </is>
      </c>
      <c r="G706" s="2" t="inlineStr">
        <is>
          <t>GROCERIES</t>
        </is>
      </c>
      <c r="H706" s="2" t="inlineStr">
        <is>
          <t>$1392.95</t>
        </is>
      </c>
      <c r="I706" s="2" t="n">
        <v>33645.46</v>
      </c>
      <c r="J706" s="2" t="inlineStr">
        <is>
          <t>ATM</t>
        </is>
      </c>
      <c r="K706" s="2" t="inlineStr">
        <is>
          <t>N</t>
        </is>
      </c>
    </row>
    <row r="707">
      <c r="A707" s="2" t="inlineStr">
        <is>
          <t>TXN100707</t>
        </is>
      </c>
      <c r="B707" s="2" t="inlineStr">
        <is>
          <t xml:space="preserve">  CUST0707 </t>
        </is>
      </c>
      <c r="C707" s="2" t="inlineStr">
        <is>
          <t>2026-06-01 03:37:00</t>
        </is>
      </c>
      <c r="D707" s="2" t="n"/>
      <c r="E707" s="2" t="n">
        <v>40</v>
      </c>
      <c r="F707" s="2" t="inlineStr">
        <is>
          <t>Investment</t>
        </is>
      </c>
      <c r="G707" s="2" t="inlineStr">
        <is>
          <t>groceries</t>
        </is>
      </c>
      <c r="H707" s="2" t="inlineStr">
        <is>
          <t>$6577.96</t>
        </is>
      </c>
      <c r="I707" s="2" t="n">
        <v>9220.610000000001</v>
      </c>
      <c r="J707" s="2" t="inlineStr">
        <is>
          <t>ATM</t>
        </is>
      </c>
      <c r="K707" s="2" t="inlineStr">
        <is>
          <t>N</t>
        </is>
      </c>
    </row>
    <row r="708">
      <c r="A708" s="2" t="inlineStr">
        <is>
          <t>TXN100708</t>
        </is>
      </c>
      <c r="B708" s="2" t="inlineStr">
        <is>
          <t xml:space="preserve">  CUST0708 </t>
        </is>
      </c>
      <c r="C708" s="2" t="inlineStr">
        <is>
          <t>2026-06-01 02:38:00</t>
        </is>
      </c>
      <c r="D708" s="2" t="inlineStr">
        <is>
          <t>MALE</t>
        </is>
      </c>
      <c r="E708" s="2" t="n">
        <v>63</v>
      </c>
      <c r="F708" s="2" t="inlineStr">
        <is>
          <t>Investment</t>
        </is>
      </c>
      <c r="G708" s="2" t="inlineStr">
        <is>
          <t>Utilities</t>
        </is>
      </c>
      <c r="H708" s="2" t="inlineStr">
        <is>
          <t>$2625.99</t>
        </is>
      </c>
      <c r="I708" s="2" t="n">
        <v>32426.96</v>
      </c>
      <c r="J708" s="2" t="inlineStr">
        <is>
          <t xml:space="preserve">Mobile App </t>
        </is>
      </c>
      <c r="K708" s="2" t="inlineStr">
        <is>
          <t>N</t>
        </is>
      </c>
    </row>
    <row r="709">
      <c r="A709" s="2" t="inlineStr">
        <is>
          <t>TXN100709</t>
        </is>
      </c>
      <c r="B709" s="2" t="inlineStr">
        <is>
          <t xml:space="preserve">  CUST0709 </t>
        </is>
      </c>
      <c r="C709" s="2" t="inlineStr">
        <is>
          <t>2026-06-01 02:13:00</t>
        </is>
      </c>
      <c r="D709" s="2" t="inlineStr">
        <is>
          <t>Male</t>
        </is>
      </c>
      <c r="E709" s="2" t="n">
        <v>57</v>
      </c>
      <c r="F709" s="2" t="inlineStr">
        <is>
          <t>Investment</t>
        </is>
      </c>
      <c r="G709" s="2" t="inlineStr">
        <is>
          <t>groceries</t>
        </is>
      </c>
      <c r="H709" s="2" t="inlineStr">
        <is>
          <t>$6059.05</t>
        </is>
      </c>
      <c r="I709" s="2" t="n">
        <v>33213.63</v>
      </c>
      <c r="J709" s="2" t="inlineStr">
        <is>
          <t>ATM</t>
        </is>
      </c>
      <c r="K709" s="2" t="inlineStr">
        <is>
          <t>N</t>
        </is>
      </c>
    </row>
    <row r="710">
      <c r="A710" s="2" t="inlineStr">
        <is>
          <t>TXN100710</t>
        </is>
      </c>
      <c r="B710" s="2" t="inlineStr">
        <is>
          <t xml:space="preserve">  CUST0710 </t>
        </is>
      </c>
      <c r="C710" s="2" t="inlineStr">
        <is>
          <t>2026-06-01 17:18:00</t>
        </is>
      </c>
      <c r="D710" s="3" t="inlineStr"/>
      <c r="E710" s="2" t="n">
        <v>59</v>
      </c>
      <c r="F710" s="2" t="inlineStr">
        <is>
          <t>Investment</t>
        </is>
      </c>
      <c r="G710" s="2" t="inlineStr">
        <is>
          <t>Utilities</t>
        </is>
      </c>
      <c r="H710" s="2" t="inlineStr">
        <is>
          <t>$1573.38</t>
        </is>
      </c>
      <c r="I710" s="2" t="n">
        <v>34235.08</v>
      </c>
      <c r="J710" s="2" t="inlineStr">
        <is>
          <t>Branch Office</t>
        </is>
      </c>
      <c r="K710" s="2" t="inlineStr">
        <is>
          <t>N</t>
        </is>
      </c>
    </row>
    <row r="711">
      <c r="A711" s="2" t="inlineStr">
        <is>
          <t>TXN100711</t>
        </is>
      </c>
      <c r="B711" s="2" t="inlineStr">
        <is>
          <t xml:space="preserve">  CUST0711 </t>
        </is>
      </c>
      <c r="C711" s="2" t="inlineStr">
        <is>
          <t>2026-06-01 09:36:00</t>
        </is>
      </c>
      <c r="D711" s="2" t="inlineStr">
        <is>
          <t>female</t>
        </is>
      </c>
      <c r="E711" s="2" t="n">
        <v>47</v>
      </c>
      <c r="F711" s="2" t="inlineStr">
        <is>
          <t>Investment</t>
        </is>
      </c>
      <c r="G711" s="2" t="inlineStr">
        <is>
          <t>Entertainment</t>
        </is>
      </c>
      <c r="H711" s="2" t="inlineStr">
        <is>
          <t>$7922.41</t>
        </is>
      </c>
      <c r="I711" s="2" t="n">
        <v>29344.99</v>
      </c>
      <c r="J711" s="2" t="inlineStr">
        <is>
          <t>ATM</t>
        </is>
      </c>
      <c r="K711" s="2" t="inlineStr">
        <is>
          <t>Y</t>
        </is>
      </c>
    </row>
    <row r="712">
      <c r="A712" s="2" t="inlineStr">
        <is>
          <t>TXN100712</t>
        </is>
      </c>
      <c r="B712" s="2" t="inlineStr">
        <is>
          <t xml:space="preserve">  CUST0712 </t>
        </is>
      </c>
      <c r="C712" s="2" t="inlineStr">
        <is>
          <t>2026-06-01 09:03:00</t>
        </is>
      </c>
      <c r="D712" s="2" t="inlineStr">
        <is>
          <t>Female</t>
        </is>
      </c>
      <c r="E712" s="2" t="n">
        <v>55</v>
      </c>
      <c r="F712" s="2" t="inlineStr">
        <is>
          <t>Savings</t>
        </is>
      </c>
      <c r="G712" s="2" t="inlineStr">
        <is>
          <t>groceries</t>
        </is>
      </c>
      <c r="H712" s="2" t="inlineStr">
        <is>
          <t>$5629.8</t>
        </is>
      </c>
      <c r="I712" s="2" t="n">
        <v>41127.29</v>
      </c>
      <c r="J712" s="2" t="inlineStr">
        <is>
          <t>Branch Office</t>
        </is>
      </c>
      <c r="K712" s="2" t="inlineStr">
        <is>
          <t>N</t>
        </is>
      </c>
    </row>
    <row r="713">
      <c r="A713" s="2" t="inlineStr">
        <is>
          <t>TXN100713</t>
        </is>
      </c>
      <c r="B713" s="2" t="inlineStr">
        <is>
          <t xml:space="preserve">  CUST0713 </t>
        </is>
      </c>
      <c r="C713" s="2" t="inlineStr">
        <is>
          <t>2026-06-01 03:55:00</t>
        </is>
      </c>
      <c r="D713" s="2" t="inlineStr">
        <is>
          <t>female</t>
        </is>
      </c>
      <c r="E713" s="2" t="n">
        <v>75</v>
      </c>
      <c r="F713" s="2" t="inlineStr">
        <is>
          <t>Savings</t>
        </is>
      </c>
      <c r="G713" s="2" t="inlineStr">
        <is>
          <t>GROCERIES</t>
        </is>
      </c>
      <c r="H713" s="2" t="inlineStr">
        <is>
          <t>$3459.41</t>
        </is>
      </c>
      <c r="I713" s="2" t="n">
        <v>29713.11</v>
      </c>
      <c r="J713" s="2" t="inlineStr">
        <is>
          <t>Branch Office</t>
        </is>
      </c>
      <c r="K713" s="2" t="inlineStr">
        <is>
          <t>N</t>
        </is>
      </c>
    </row>
    <row r="714">
      <c r="A714" s="2" t="inlineStr">
        <is>
          <t>TXN100714</t>
        </is>
      </c>
      <c r="B714" s="2" t="inlineStr">
        <is>
          <t xml:space="preserve">  CUST0714 </t>
        </is>
      </c>
      <c r="C714" s="2" t="inlineStr">
        <is>
          <t>2026-06-01 22:24:00</t>
        </is>
      </c>
      <c r="D714" s="3" t="inlineStr"/>
      <c r="E714" s="2" t="n">
        <v>44</v>
      </c>
      <c r="F714" s="2" t="inlineStr">
        <is>
          <t>Checking</t>
        </is>
      </c>
      <c r="G714" s="2" t="inlineStr">
        <is>
          <t>Travel</t>
        </is>
      </c>
      <c r="H714" s="2" t="inlineStr">
        <is>
          <t>$1697.62</t>
        </is>
      </c>
      <c r="I714" s="2" t="n">
        <v>9083.799999999999</v>
      </c>
      <c r="J714" s="2" t="inlineStr">
        <is>
          <t>Online Banking</t>
        </is>
      </c>
      <c r="K714" s="2" t="inlineStr">
        <is>
          <t>N</t>
        </is>
      </c>
    </row>
    <row r="715">
      <c r="A715" s="2" t="inlineStr">
        <is>
          <t>TXN100715</t>
        </is>
      </c>
      <c r="B715" s="2" t="inlineStr">
        <is>
          <t xml:space="preserve">  CUST0715 </t>
        </is>
      </c>
      <c r="C715" s="2" t="inlineStr">
        <is>
          <t>2026-06-01 06:35:00</t>
        </is>
      </c>
      <c r="D715" s="3" t="inlineStr"/>
      <c r="E715" s="2" t="n">
        <v>73</v>
      </c>
      <c r="F715" s="2" t="inlineStr">
        <is>
          <t>Checking</t>
        </is>
      </c>
      <c r="G715" s="2" t="inlineStr">
        <is>
          <t>Utilities</t>
        </is>
      </c>
      <c r="H715" s="2" t="inlineStr">
        <is>
          <t>$1242.6</t>
        </is>
      </c>
      <c r="I715" s="2" t="n">
        <v>49874.07</v>
      </c>
      <c r="J715" s="2" t="inlineStr">
        <is>
          <t>Online Banking</t>
        </is>
      </c>
      <c r="K715" s="2" t="inlineStr">
        <is>
          <t>N</t>
        </is>
      </c>
    </row>
    <row r="716">
      <c r="A716" s="2" t="inlineStr">
        <is>
          <t>TXN100716</t>
        </is>
      </c>
      <c r="B716" s="2" t="inlineStr">
        <is>
          <t xml:space="preserve">  CUST0716 </t>
        </is>
      </c>
      <c r="C716" s="2" t="inlineStr">
        <is>
          <t>2026-06-01 04:00:00</t>
        </is>
      </c>
      <c r="D716" s="2" t="inlineStr">
        <is>
          <t>MALE</t>
        </is>
      </c>
      <c r="E716" s="2" t="n">
        <v>61</v>
      </c>
      <c r="F716" s="2" t="inlineStr">
        <is>
          <t>Savings</t>
        </is>
      </c>
      <c r="G716" s="2" t="inlineStr">
        <is>
          <t>GROCERIES</t>
        </is>
      </c>
      <c r="H716" s="2" t="inlineStr">
        <is>
          <t>$5773.5</t>
        </is>
      </c>
      <c r="I716" s="2" t="n">
        <v>24591.72</v>
      </c>
      <c r="J716" s="2" t="inlineStr">
        <is>
          <t>ATM</t>
        </is>
      </c>
      <c r="K716" s="2" t="inlineStr">
        <is>
          <t>N</t>
        </is>
      </c>
    </row>
    <row r="717">
      <c r="A717" s="2" t="inlineStr">
        <is>
          <t>TXN100717</t>
        </is>
      </c>
      <c r="B717" s="2" t="inlineStr">
        <is>
          <t xml:space="preserve">  CUST0717 </t>
        </is>
      </c>
      <c r="C717" s="2" t="inlineStr">
        <is>
          <t>2026-06-01 04:05:00</t>
        </is>
      </c>
      <c r="D717" s="2" t="inlineStr">
        <is>
          <t>Male</t>
        </is>
      </c>
      <c r="E717" s="2" t="n">
        <v>61</v>
      </c>
      <c r="F717" s="2" t="inlineStr">
        <is>
          <t>Checking</t>
        </is>
      </c>
      <c r="G717" s="2" t="inlineStr">
        <is>
          <t>Utilities</t>
        </is>
      </c>
      <c r="H717" s="2" t="inlineStr">
        <is>
          <t>$7149.72</t>
        </is>
      </c>
      <c r="I717" s="2" t="n">
        <v>34921.83</v>
      </c>
      <c r="J717" s="2" t="inlineStr">
        <is>
          <t>ATM</t>
        </is>
      </c>
      <c r="K717" s="2" t="inlineStr">
        <is>
          <t>Y</t>
        </is>
      </c>
    </row>
    <row r="718">
      <c r="A718" s="2" t="inlineStr">
        <is>
          <t>TXN100718</t>
        </is>
      </c>
      <c r="B718" s="2" t="inlineStr">
        <is>
          <t xml:space="preserve">  CUST0718 </t>
        </is>
      </c>
      <c r="C718" s="2" t="inlineStr">
        <is>
          <t>2026-06-01 14:32:00</t>
        </is>
      </c>
      <c r="D718" s="3" t="inlineStr"/>
      <c r="E718" s="2" t="n">
        <v>55</v>
      </c>
      <c r="F718" s="2" t="inlineStr">
        <is>
          <t>Checking</t>
        </is>
      </c>
      <c r="G718" s="2" t="inlineStr">
        <is>
          <t>Utilities</t>
        </is>
      </c>
      <c r="H718" s="2" t="inlineStr">
        <is>
          <t>$2848.9</t>
        </is>
      </c>
      <c r="I718" s="2" t="n">
        <v>9696.66</v>
      </c>
      <c r="J718" s="2" t="inlineStr">
        <is>
          <t xml:space="preserve">Mobile App </t>
        </is>
      </c>
      <c r="K718" s="2" t="inlineStr">
        <is>
          <t>N</t>
        </is>
      </c>
    </row>
    <row r="719">
      <c r="A719" s="2" t="inlineStr">
        <is>
          <t>TXN100719</t>
        </is>
      </c>
      <c r="B719" s="2" t="inlineStr">
        <is>
          <t xml:space="preserve">  CUST0719 </t>
        </is>
      </c>
      <c r="C719" s="2" t="inlineStr">
        <is>
          <t>2026-06-01 18:31:00</t>
        </is>
      </c>
      <c r="D719" s="2" t="inlineStr">
        <is>
          <t>F</t>
        </is>
      </c>
      <c r="E719" s="2" t="n">
        <v>65</v>
      </c>
      <c r="F719" s="2" t="inlineStr">
        <is>
          <t>Investment</t>
        </is>
      </c>
      <c r="G719" s="2" t="inlineStr">
        <is>
          <t>Entertainment</t>
        </is>
      </c>
      <c r="H719" s="2" t="inlineStr">
        <is>
          <t>$3292.59</t>
        </is>
      </c>
      <c r="I719" s="2" t="n">
        <v>27535.23</v>
      </c>
      <c r="J719" s="2" t="inlineStr">
        <is>
          <t>Branch Office</t>
        </is>
      </c>
      <c r="K719" s="2" t="inlineStr">
        <is>
          <t>N</t>
        </is>
      </c>
    </row>
    <row r="720">
      <c r="A720" s="2" t="inlineStr">
        <is>
          <t>TXN100720</t>
        </is>
      </c>
      <c r="B720" s="2" t="inlineStr">
        <is>
          <t xml:space="preserve">  CUST0720 </t>
        </is>
      </c>
      <c r="C720" s="2" t="inlineStr">
        <is>
          <t>2026-06-01 01:02:00</t>
        </is>
      </c>
      <c r="D720" s="2" t="n"/>
      <c r="E720" s="2" t="n">
        <v>65</v>
      </c>
      <c r="F720" s="2" t="inlineStr">
        <is>
          <t>Checking</t>
        </is>
      </c>
      <c r="G720" s="2" t="inlineStr">
        <is>
          <t>groceries</t>
        </is>
      </c>
      <c r="H720" s="2" t="inlineStr">
        <is>
          <t>$4646.35</t>
        </is>
      </c>
      <c r="I720" s="2" t="n">
        <v>48106.02</v>
      </c>
      <c r="J720" s="2" t="inlineStr">
        <is>
          <t xml:space="preserve">Mobile App </t>
        </is>
      </c>
      <c r="K720" s="2" t="inlineStr">
        <is>
          <t>N</t>
        </is>
      </c>
    </row>
    <row r="721">
      <c r="A721" s="2" t="inlineStr">
        <is>
          <t>TXN100721</t>
        </is>
      </c>
      <c r="B721" s="2" t="inlineStr">
        <is>
          <t xml:space="preserve">  CUST0721 </t>
        </is>
      </c>
      <c r="C721" s="2" t="inlineStr">
        <is>
          <t>2026-06-01 04:46:00</t>
        </is>
      </c>
      <c r="D721" s="2" t="inlineStr">
        <is>
          <t>female</t>
        </is>
      </c>
      <c r="E721" s="2" t="n">
        <v>49</v>
      </c>
      <c r="F721" s="2" t="inlineStr">
        <is>
          <t>Investment</t>
        </is>
      </c>
      <c r="G721" s="2" t="inlineStr">
        <is>
          <t>groceries</t>
        </is>
      </c>
      <c r="H721" s="2" t="inlineStr">
        <is>
          <t>$4191.62</t>
        </is>
      </c>
      <c r="I721" s="2" t="n">
        <v>30698.5</v>
      </c>
      <c r="J721" s="2" t="inlineStr">
        <is>
          <t>Online Banking</t>
        </is>
      </c>
      <c r="K721" s="2" t="inlineStr">
        <is>
          <t>N</t>
        </is>
      </c>
    </row>
    <row r="722">
      <c r="A722" s="2" t="inlineStr">
        <is>
          <t>TXN100722</t>
        </is>
      </c>
      <c r="B722" s="2" t="inlineStr">
        <is>
          <t xml:space="preserve">  CUST0722 </t>
        </is>
      </c>
      <c r="C722" s="2" t="inlineStr">
        <is>
          <t>2026-06-01 15:40:00</t>
        </is>
      </c>
      <c r="D722" s="2" t="inlineStr">
        <is>
          <t>MALE</t>
        </is>
      </c>
      <c r="E722" s="2" t="n">
        <v>63</v>
      </c>
      <c r="F722" s="2" t="inlineStr">
        <is>
          <t>Investment</t>
        </is>
      </c>
      <c r="G722" s="2" t="inlineStr">
        <is>
          <t>Travel</t>
        </is>
      </c>
      <c r="H722" s="2" t="inlineStr">
        <is>
          <t>$6386.8</t>
        </is>
      </c>
      <c r="I722" s="2" t="n">
        <v>15968.74</v>
      </c>
      <c r="J722" s="2" t="inlineStr">
        <is>
          <t xml:space="preserve">Mobile App </t>
        </is>
      </c>
      <c r="K722" s="2" t="inlineStr">
        <is>
          <t>N</t>
        </is>
      </c>
    </row>
    <row r="723">
      <c r="A723" s="2" t="inlineStr">
        <is>
          <t>TXN100723</t>
        </is>
      </c>
      <c r="B723" s="2" t="inlineStr">
        <is>
          <t xml:space="preserve">  CUST0723 </t>
        </is>
      </c>
      <c r="C723" s="2" t="inlineStr">
        <is>
          <t>2026-06-01 10:34:00</t>
        </is>
      </c>
      <c r="D723" s="2" t="inlineStr">
        <is>
          <t>M</t>
        </is>
      </c>
      <c r="E723" s="2" t="n">
        <v>50</v>
      </c>
      <c r="F723" s="2" t="inlineStr">
        <is>
          <t>Checking</t>
        </is>
      </c>
      <c r="G723" s="2" t="inlineStr">
        <is>
          <t>Travel</t>
        </is>
      </c>
      <c r="H723" s="2" t="inlineStr">
        <is>
          <t>$7249.38</t>
        </is>
      </c>
      <c r="I723" s="2" t="n">
        <v>28911.28</v>
      </c>
      <c r="J723" s="2" t="inlineStr">
        <is>
          <t>Branch Office</t>
        </is>
      </c>
      <c r="K723" s="2" t="inlineStr">
        <is>
          <t>N</t>
        </is>
      </c>
    </row>
    <row r="724">
      <c r="A724" s="2" t="inlineStr">
        <is>
          <t>TXN100724</t>
        </is>
      </c>
      <c r="B724" s="2" t="inlineStr">
        <is>
          <t xml:space="preserve">  CUST0724 </t>
        </is>
      </c>
      <c r="C724" s="2" t="inlineStr">
        <is>
          <t>2026-06-01 09:18:00</t>
        </is>
      </c>
      <c r="D724" s="2" t="inlineStr">
        <is>
          <t>Male</t>
        </is>
      </c>
      <c r="E724" s="2" t="n">
        <v>22</v>
      </c>
      <c r="F724" s="2" t="inlineStr">
        <is>
          <t>Investment</t>
        </is>
      </c>
      <c r="G724" s="2" t="inlineStr">
        <is>
          <t>Travel</t>
        </is>
      </c>
      <c r="H724" s="2" t="inlineStr">
        <is>
          <t>$5997.91</t>
        </is>
      </c>
      <c r="I724" s="2" t="n">
        <v>36485.1</v>
      </c>
      <c r="J724" s="2" t="inlineStr">
        <is>
          <t>Branch Office</t>
        </is>
      </c>
      <c r="K724" s="2" t="inlineStr">
        <is>
          <t>N</t>
        </is>
      </c>
    </row>
    <row r="725">
      <c r="A725" s="2" t="inlineStr">
        <is>
          <t>TXN100725</t>
        </is>
      </c>
      <c r="B725" s="2" t="inlineStr">
        <is>
          <t xml:space="preserve">  CUST0725 </t>
        </is>
      </c>
      <c r="C725" s="2" t="inlineStr">
        <is>
          <t>2026-06-01 01:40:00</t>
        </is>
      </c>
      <c r="D725" s="2" t="n"/>
      <c r="E725" s="2" t="n">
        <v>57</v>
      </c>
      <c r="F725" s="2" t="inlineStr">
        <is>
          <t>Savings</t>
        </is>
      </c>
      <c r="G725" s="2" t="inlineStr">
        <is>
          <t>Travel</t>
        </is>
      </c>
      <c r="H725" s="2" t="inlineStr">
        <is>
          <t>$422.44</t>
        </is>
      </c>
      <c r="I725" s="2" t="n">
        <v>49523.06</v>
      </c>
      <c r="J725" s="2" t="inlineStr">
        <is>
          <t xml:space="preserve">Mobile App </t>
        </is>
      </c>
      <c r="K725" s="2" t="inlineStr">
        <is>
          <t>N</t>
        </is>
      </c>
    </row>
    <row r="726">
      <c r="A726" s="2" t="inlineStr">
        <is>
          <t>TXN100726</t>
        </is>
      </c>
      <c r="B726" s="2" t="inlineStr">
        <is>
          <t xml:space="preserve">  CUST0726 </t>
        </is>
      </c>
      <c r="C726" s="2" t="inlineStr">
        <is>
          <t>2026-06-01 09:31:00</t>
        </is>
      </c>
      <c r="D726" s="2" t="inlineStr">
        <is>
          <t>MALE</t>
        </is>
      </c>
      <c r="E726" s="2" t="n">
        <v>28</v>
      </c>
      <c r="F726" s="2" t="inlineStr">
        <is>
          <t>Investment</t>
        </is>
      </c>
      <c r="G726" s="2" t="inlineStr">
        <is>
          <t>groceries</t>
        </is>
      </c>
      <c r="H726" s="2" t="inlineStr">
        <is>
          <t>$6813.05</t>
        </is>
      </c>
      <c r="I726" s="2" t="n">
        <v>14253.52</v>
      </c>
      <c r="J726" s="2" t="inlineStr">
        <is>
          <t>Online Banking</t>
        </is>
      </c>
      <c r="K726" s="2" t="inlineStr">
        <is>
          <t>N</t>
        </is>
      </c>
    </row>
    <row r="727">
      <c r="A727" s="2" t="inlineStr">
        <is>
          <t>TXN100727</t>
        </is>
      </c>
      <c r="B727" s="2" t="inlineStr">
        <is>
          <t xml:space="preserve">  CUST0727 </t>
        </is>
      </c>
      <c r="C727" s="2" t="inlineStr">
        <is>
          <t>2026-06-01 19:17:00</t>
        </is>
      </c>
      <c r="D727" s="2" t="inlineStr">
        <is>
          <t>female</t>
        </is>
      </c>
      <c r="E727" s="2" t="n">
        <v>74</v>
      </c>
      <c r="F727" s="2" t="inlineStr">
        <is>
          <t>Checking</t>
        </is>
      </c>
      <c r="G727" s="2" t="inlineStr">
        <is>
          <t>groceries</t>
        </is>
      </c>
      <c r="H727" s="2" t="inlineStr">
        <is>
          <t>$5934.02</t>
        </is>
      </c>
      <c r="I727" s="2" t="n">
        <v>30389.17</v>
      </c>
      <c r="J727" s="2" t="inlineStr">
        <is>
          <t>Online Banking</t>
        </is>
      </c>
      <c r="K727" s="2" t="inlineStr">
        <is>
          <t>N</t>
        </is>
      </c>
    </row>
    <row r="728">
      <c r="A728" s="2" t="inlineStr">
        <is>
          <t>TXN100728</t>
        </is>
      </c>
      <c r="B728" s="2" t="inlineStr">
        <is>
          <t xml:space="preserve">  CUST0728 </t>
        </is>
      </c>
      <c r="C728" s="2" t="inlineStr">
        <is>
          <t>2026-06-01 21:28:00</t>
        </is>
      </c>
      <c r="D728" s="2" t="inlineStr">
        <is>
          <t>Female</t>
        </is>
      </c>
      <c r="E728" s="2" t="n">
        <v>71</v>
      </c>
      <c r="F728" s="2" t="inlineStr">
        <is>
          <t>Savings</t>
        </is>
      </c>
      <c r="G728" s="2" t="inlineStr">
        <is>
          <t>Entertainment</t>
        </is>
      </c>
      <c r="H728" s="2" t="inlineStr">
        <is>
          <t>$6262.4</t>
        </is>
      </c>
      <c r="I728" s="2" t="n">
        <v>12191.7</v>
      </c>
      <c r="J728" s="2" t="inlineStr">
        <is>
          <t>Online Banking</t>
        </is>
      </c>
      <c r="K728" s="2" t="inlineStr">
        <is>
          <t>N</t>
        </is>
      </c>
    </row>
    <row r="729">
      <c r="A729" s="2" t="inlineStr">
        <is>
          <t>TXN100729</t>
        </is>
      </c>
      <c r="B729" s="2" t="inlineStr">
        <is>
          <t xml:space="preserve">  CUST0729 </t>
        </is>
      </c>
      <c r="C729" s="2" t="inlineStr">
        <is>
          <t>2026-06-01 16:55:00</t>
        </is>
      </c>
      <c r="D729" s="2" t="inlineStr">
        <is>
          <t>M</t>
        </is>
      </c>
      <c r="E729" s="2" t="n">
        <v>41</v>
      </c>
      <c r="F729" s="2" t="inlineStr">
        <is>
          <t>Savings</t>
        </is>
      </c>
      <c r="G729" s="2" t="inlineStr">
        <is>
          <t>GROCERIES</t>
        </is>
      </c>
      <c r="H729" s="2" t="inlineStr">
        <is>
          <t>$4768.4</t>
        </is>
      </c>
      <c r="I729" s="2" t="n">
        <v>41175.33</v>
      </c>
      <c r="J729" s="2" t="inlineStr">
        <is>
          <t>ATM</t>
        </is>
      </c>
      <c r="K729" s="2" t="inlineStr">
        <is>
          <t>N</t>
        </is>
      </c>
    </row>
    <row r="730">
      <c r="A730" s="2" t="inlineStr">
        <is>
          <t>TXN100730</t>
        </is>
      </c>
      <c r="B730" s="2" t="inlineStr">
        <is>
          <t xml:space="preserve">  CUST0730 </t>
        </is>
      </c>
      <c r="C730" s="2" t="inlineStr">
        <is>
          <t>2026-06-01 13:49:00</t>
        </is>
      </c>
      <c r="D730" s="3" t="inlineStr"/>
      <c r="E730" s="2" t="n">
        <v>35</v>
      </c>
      <c r="F730" s="2" t="inlineStr">
        <is>
          <t>Investment</t>
        </is>
      </c>
      <c r="G730" s="2" t="inlineStr">
        <is>
          <t>Utilities</t>
        </is>
      </c>
      <c r="H730" s="2" t="inlineStr">
        <is>
          <t>$5810.73</t>
        </is>
      </c>
      <c r="I730" s="2" t="n">
        <v>8780.52</v>
      </c>
      <c r="J730" s="2" t="inlineStr">
        <is>
          <t>Branch Office</t>
        </is>
      </c>
      <c r="K730" s="2" t="inlineStr">
        <is>
          <t>N</t>
        </is>
      </c>
    </row>
    <row r="731">
      <c r="A731" s="2" t="inlineStr">
        <is>
          <t>TXN100731</t>
        </is>
      </c>
      <c r="B731" s="2" t="inlineStr">
        <is>
          <t xml:space="preserve">  CUST0731 </t>
        </is>
      </c>
      <c r="C731" s="2" t="inlineStr">
        <is>
          <t>2026-06-01 01:41:00</t>
        </is>
      </c>
      <c r="D731" s="2" t="inlineStr">
        <is>
          <t>female</t>
        </is>
      </c>
      <c r="E731" s="2" t="n">
        <v>68</v>
      </c>
      <c r="F731" s="2" t="inlineStr">
        <is>
          <t>Savings</t>
        </is>
      </c>
      <c r="G731" s="2" t="inlineStr">
        <is>
          <t>groceries</t>
        </is>
      </c>
      <c r="H731" s="2" t="inlineStr">
        <is>
          <t>$1349.13</t>
        </is>
      </c>
      <c r="I731" s="2" t="n">
        <v>20237.87</v>
      </c>
      <c r="J731" s="2" t="inlineStr">
        <is>
          <t>Branch Office</t>
        </is>
      </c>
      <c r="K731" s="2" t="inlineStr">
        <is>
          <t>N</t>
        </is>
      </c>
    </row>
    <row r="732">
      <c r="A732" s="2" t="inlineStr">
        <is>
          <t>TXN100732</t>
        </is>
      </c>
      <c r="B732" s="2" t="inlineStr">
        <is>
          <t xml:space="preserve">  CUST0732 </t>
        </is>
      </c>
      <c r="C732" s="2" t="inlineStr">
        <is>
          <t>2026-06-01 15:47:00</t>
        </is>
      </c>
      <c r="D732" s="2" t="inlineStr">
        <is>
          <t>F</t>
        </is>
      </c>
      <c r="E732" s="2" t="n">
        <v>44</v>
      </c>
      <c r="F732" s="2" t="inlineStr">
        <is>
          <t>Investment</t>
        </is>
      </c>
      <c r="G732" s="2" t="inlineStr">
        <is>
          <t>Utilities</t>
        </is>
      </c>
      <c r="H732" s="2" t="inlineStr">
        <is>
          <t>$3801.97</t>
        </is>
      </c>
      <c r="I732" s="2" t="n">
        <v>7684.92</v>
      </c>
      <c r="J732" s="2" t="inlineStr">
        <is>
          <t>ATM</t>
        </is>
      </c>
      <c r="K732" s="2" t="inlineStr">
        <is>
          <t>N</t>
        </is>
      </c>
    </row>
    <row r="733">
      <c r="A733" s="2" t="inlineStr">
        <is>
          <t>TXN100733</t>
        </is>
      </c>
      <c r="B733" s="2" t="inlineStr">
        <is>
          <t xml:space="preserve">  CUST0733 </t>
        </is>
      </c>
      <c r="C733" s="2" t="inlineStr">
        <is>
          <t>2026-06-01 00:18:00</t>
        </is>
      </c>
      <c r="D733" s="2" t="n"/>
      <c r="E733" s="2" t="n">
        <v>44</v>
      </c>
      <c r="F733" s="2" t="inlineStr">
        <is>
          <t>Investment</t>
        </is>
      </c>
      <c r="G733" s="2" t="inlineStr">
        <is>
          <t>Entertainment</t>
        </is>
      </c>
      <c r="H733" s="2" t="inlineStr">
        <is>
          <t>$7694.48</t>
        </is>
      </c>
      <c r="I733" s="2" t="n">
        <v>34302.38</v>
      </c>
      <c r="J733" s="2" t="inlineStr">
        <is>
          <t xml:space="preserve">Mobile App </t>
        </is>
      </c>
      <c r="K733" s="2" t="inlineStr">
        <is>
          <t>N</t>
        </is>
      </c>
    </row>
    <row r="734">
      <c r="A734" s="2" t="inlineStr">
        <is>
          <t>TXN100734</t>
        </is>
      </c>
      <c r="B734" s="2" t="inlineStr">
        <is>
          <t xml:space="preserve">  CUST0734 </t>
        </is>
      </c>
      <c r="C734" s="2" t="inlineStr">
        <is>
          <t>2026-06-01 17:40:00</t>
        </is>
      </c>
      <c r="D734" s="2" t="inlineStr">
        <is>
          <t>Female</t>
        </is>
      </c>
      <c r="E734" s="2" t="n">
        <v>74</v>
      </c>
      <c r="F734" s="2" t="inlineStr">
        <is>
          <t>Checking</t>
        </is>
      </c>
      <c r="G734" s="2" t="inlineStr">
        <is>
          <t>Travel</t>
        </is>
      </c>
      <c r="H734" s="2" t="inlineStr">
        <is>
          <t>$7345.16</t>
        </is>
      </c>
      <c r="I734" s="2" t="n">
        <v>42988.61</v>
      </c>
      <c r="J734" s="2" t="inlineStr">
        <is>
          <t>Branch Office</t>
        </is>
      </c>
      <c r="K734" s="2" t="inlineStr">
        <is>
          <t>N</t>
        </is>
      </c>
    </row>
    <row r="735">
      <c r="A735" s="2" t="inlineStr">
        <is>
          <t>TXN100735</t>
        </is>
      </c>
      <c r="B735" s="2" t="inlineStr">
        <is>
          <t xml:space="preserve">  CUST0735 </t>
        </is>
      </c>
      <c r="C735" s="2" t="inlineStr">
        <is>
          <t>2026-06-01 03:16:00</t>
        </is>
      </c>
      <c r="D735" s="3" t="inlineStr"/>
      <c r="E735" s="2" t="n">
        <v>49</v>
      </c>
      <c r="F735" s="2" t="inlineStr">
        <is>
          <t>Investment</t>
        </is>
      </c>
      <c r="G735" s="2" t="inlineStr">
        <is>
          <t>GROCERIES</t>
        </is>
      </c>
      <c r="H735" s="2" t="inlineStr">
        <is>
          <t>$5877.16</t>
        </is>
      </c>
      <c r="I735" s="2" t="n">
        <v>29641.85</v>
      </c>
      <c r="J735" s="2" t="inlineStr">
        <is>
          <t>Online Banking</t>
        </is>
      </c>
      <c r="K735" s="2" t="inlineStr">
        <is>
          <t>N</t>
        </is>
      </c>
    </row>
    <row r="736">
      <c r="A736" s="2" t="inlineStr">
        <is>
          <t>TXN100736</t>
        </is>
      </c>
      <c r="B736" s="2" t="inlineStr">
        <is>
          <t xml:space="preserve">  CUST0736 </t>
        </is>
      </c>
      <c r="C736" s="2" t="inlineStr">
        <is>
          <t>2026-06-01 16:21:00</t>
        </is>
      </c>
      <c r="D736" s="2" t="inlineStr">
        <is>
          <t>Male</t>
        </is>
      </c>
      <c r="E736" s="2" t="n">
        <v>40</v>
      </c>
      <c r="F736" s="2" t="inlineStr">
        <is>
          <t>Investment</t>
        </is>
      </c>
      <c r="G736" s="2" t="inlineStr">
        <is>
          <t>groceries</t>
        </is>
      </c>
      <c r="H736" s="2" t="inlineStr">
        <is>
          <t>$5385.69</t>
        </is>
      </c>
      <c r="I736" s="2" t="n">
        <v>41668.63</v>
      </c>
      <c r="J736" s="2" t="inlineStr">
        <is>
          <t xml:space="preserve">Mobile App </t>
        </is>
      </c>
      <c r="K736" s="2" t="inlineStr">
        <is>
          <t>N</t>
        </is>
      </c>
    </row>
    <row r="737">
      <c r="A737" s="2" t="inlineStr">
        <is>
          <t>TXN100737</t>
        </is>
      </c>
      <c r="B737" s="2" t="inlineStr">
        <is>
          <t xml:space="preserve">  CUST0737 </t>
        </is>
      </c>
      <c r="C737" s="2" t="inlineStr">
        <is>
          <t>2026-06-01 13:06:00</t>
        </is>
      </c>
      <c r="D737" s="2" t="inlineStr">
        <is>
          <t>MALE</t>
        </is>
      </c>
      <c r="E737" s="2" t="n">
        <v>63</v>
      </c>
      <c r="F737" s="2" t="inlineStr">
        <is>
          <t>Checking</t>
        </is>
      </c>
      <c r="G737" s="2" t="inlineStr">
        <is>
          <t>Entertainment</t>
        </is>
      </c>
      <c r="H737" s="2" t="inlineStr">
        <is>
          <t>$1763.14</t>
        </is>
      </c>
      <c r="I737" s="2" t="n">
        <v>14523.2</v>
      </c>
      <c r="J737" s="2" t="inlineStr">
        <is>
          <t>Online Banking</t>
        </is>
      </c>
      <c r="K737" s="2" t="inlineStr">
        <is>
          <t>N</t>
        </is>
      </c>
    </row>
    <row r="738">
      <c r="A738" s="2" t="inlineStr">
        <is>
          <t>TXN100738</t>
        </is>
      </c>
      <c r="B738" s="2" t="inlineStr">
        <is>
          <t xml:space="preserve">  CUST0738 </t>
        </is>
      </c>
      <c r="C738" s="2" t="inlineStr">
        <is>
          <t>2026-06-01 01:01:00</t>
        </is>
      </c>
      <c r="D738" s="2" t="inlineStr">
        <is>
          <t>MALE</t>
        </is>
      </c>
      <c r="E738" s="2" t="n">
        <v>23</v>
      </c>
      <c r="F738" s="2" t="inlineStr">
        <is>
          <t>Investment</t>
        </is>
      </c>
      <c r="G738" s="2" t="inlineStr">
        <is>
          <t>GROCERIES</t>
        </is>
      </c>
      <c r="H738" s="2" t="inlineStr">
        <is>
          <t>$7604.41</t>
        </is>
      </c>
      <c r="I738" s="2" t="n">
        <v>32085.1</v>
      </c>
      <c r="J738" s="2" t="inlineStr">
        <is>
          <t xml:space="preserve">Mobile App </t>
        </is>
      </c>
      <c r="K738" s="2" t="inlineStr">
        <is>
          <t>N</t>
        </is>
      </c>
    </row>
    <row r="739">
      <c r="A739" s="2" t="inlineStr">
        <is>
          <t>TXN100739</t>
        </is>
      </c>
      <c r="B739" s="2" t="inlineStr">
        <is>
          <t xml:space="preserve">  CUST0739 </t>
        </is>
      </c>
      <c r="C739" s="2" t="inlineStr">
        <is>
          <t>2026-06-01 19:08:00</t>
        </is>
      </c>
      <c r="D739" s="3" t="inlineStr"/>
      <c r="E739" s="2" t="n">
        <v>62</v>
      </c>
      <c r="F739" s="2" t="inlineStr">
        <is>
          <t>Investment</t>
        </is>
      </c>
      <c r="G739" s="2" t="inlineStr">
        <is>
          <t>Travel</t>
        </is>
      </c>
      <c r="H739" s="2" t="inlineStr">
        <is>
          <t>$6427.57</t>
        </is>
      </c>
      <c r="I739" s="2" t="n">
        <v>9646.049999999999</v>
      </c>
      <c r="J739" s="2" t="inlineStr">
        <is>
          <t xml:space="preserve">Mobile App </t>
        </is>
      </c>
      <c r="K739" s="2" t="inlineStr">
        <is>
          <t>N</t>
        </is>
      </c>
    </row>
    <row r="740">
      <c r="A740" s="2" t="inlineStr">
        <is>
          <t>TXN100740</t>
        </is>
      </c>
      <c r="B740" s="2" t="inlineStr">
        <is>
          <t xml:space="preserve">  CUST0740 </t>
        </is>
      </c>
      <c r="C740" s="2" t="inlineStr">
        <is>
          <t>2026-06-01 22:11:00</t>
        </is>
      </c>
      <c r="D740" s="2" t="inlineStr">
        <is>
          <t>female</t>
        </is>
      </c>
      <c r="E740" s="2" t="n">
        <v>38</v>
      </c>
      <c r="F740" s="2" t="inlineStr">
        <is>
          <t>Checking</t>
        </is>
      </c>
      <c r="G740" s="2" t="inlineStr">
        <is>
          <t>groceries</t>
        </is>
      </c>
      <c r="H740" s="2" t="inlineStr">
        <is>
          <t>$5113.86</t>
        </is>
      </c>
      <c r="I740" s="2" t="n">
        <v>46173.42</v>
      </c>
      <c r="J740" s="2" t="inlineStr">
        <is>
          <t>Branch Office</t>
        </is>
      </c>
      <c r="K740" s="2" t="inlineStr">
        <is>
          <t>N</t>
        </is>
      </c>
    </row>
    <row r="741">
      <c r="A741" s="2" t="inlineStr">
        <is>
          <t>TXN100741</t>
        </is>
      </c>
      <c r="B741" s="2" t="inlineStr">
        <is>
          <t xml:space="preserve">  CUST0741 </t>
        </is>
      </c>
      <c r="C741" s="2" t="inlineStr">
        <is>
          <t>2026-06-01 13:44:00</t>
        </is>
      </c>
      <c r="D741" s="2" t="inlineStr">
        <is>
          <t>Female</t>
        </is>
      </c>
      <c r="E741" s="2" t="n">
        <v>36</v>
      </c>
      <c r="F741" s="2" t="inlineStr">
        <is>
          <t>Savings</t>
        </is>
      </c>
      <c r="G741" s="2" t="inlineStr">
        <is>
          <t>groceries</t>
        </is>
      </c>
      <c r="H741" s="2" t="inlineStr">
        <is>
          <t>$2225.53</t>
        </is>
      </c>
      <c r="I741" s="2" t="n">
        <v>3588.18</v>
      </c>
      <c r="J741" s="2" t="inlineStr">
        <is>
          <t>ATM</t>
        </is>
      </c>
      <c r="K741" s="2" t="inlineStr">
        <is>
          <t>N</t>
        </is>
      </c>
    </row>
    <row r="742">
      <c r="A742" s="2" t="inlineStr">
        <is>
          <t>TXN100742</t>
        </is>
      </c>
      <c r="B742" s="2" t="inlineStr">
        <is>
          <t xml:space="preserve">  CUST0742 </t>
        </is>
      </c>
      <c r="C742" s="2" t="inlineStr">
        <is>
          <t>2026-06-01 10:03:00</t>
        </is>
      </c>
      <c r="D742" s="2" t="inlineStr">
        <is>
          <t>female</t>
        </is>
      </c>
      <c r="E742" s="2" t="n">
        <v>72</v>
      </c>
      <c r="F742" s="2" t="inlineStr">
        <is>
          <t>Checking</t>
        </is>
      </c>
      <c r="G742" s="2" t="inlineStr">
        <is>
          <t>GROCERIES</t>
        </is>
      </c>
      <c r="H742" s="2" t="inlineStr">
        <is>
          <t>$3530.19</t>
        </is>
      </c>
      <c r="I742" s="2" t="n">
        <v>24840.23</v>
      </c>
      <c r="J742" s="2" t="inlineStr">
        <is>
          <t>Online Banking</t>
        </is>
      </c>
      <c r="K742" s="2" t="inlineStr">
        <is>
          <t>N</t>
        </is>
      </c>
    </row>
    <row r="743">
      <c r="A743" s="2" t="inlineStr">
        <is>
          <t>TXN100743</t>
        </is>
      </c>
      <c r="B743" s="2" t="inlineStr">
        <is>
          <t xml:space="preserve">  CUST0743 </t>
        </is>
      </c>
      <c r="C743" s="2" t="inlineStr">
        <is>
          <t>2026-06-01 19:25:00</t>
        </is>
      </c>
      <c r="D743" s="2" t="inlineStr">
        <is>
          <t>Male</t>
        </is>
      </c>
      <c r="E743" s="2" t="n">
        <v>61</v>
      </c>
      <c r="F743" s="2" t="inlineStr">
        <is>
          <t>Checking</t>
        </is>
      </c>
      <c r="G743" s="2" t="inlineStr">
        <is>
          <t>groceries</t>
        </is>
      </c>
      <c r="H743" s="2" t="inlineStr">
        <is>
          <t>$1159.54</t>
        </is>
      </c>
      <c r="I743" s="2" t="n">
        <v>38551.01</v>
      </c>
      <c r="J743" s="2" t="inlineStr">
        <is>
          <t>Online Banking</t>
        </is>
      </c>
      <c r="K743" s="2" t="inlineStr">
        <is>
          <t>N</t>
        </is>
      </c>
    </row>
    <row r="744">
      <c r="A744" s="2" t="inlineStr">
        <is>
          <t>TXN100744</t>
        </is>
      </c>
      <c r="B744" s="2" t="inlineStr">
        <is>
          <t xml:space="preserve">  CUST0744 </t>
        </is>
      </c>
      <c r="C744" s="2" t="inlineStr">
        <is>
          <t>2026-06-01 19:41:00</t>
        </is>
      </c>
      <c r="D744" s="2" t="inlineStr">
        <is>
          <t>MALE</t>
        </is>
      </c>
      <c r="E744" s="2" t="n">
        <v>48</v>
      </c>
      <c r="F744" s="2" t="inlineStr">
        <is>
          <t>Investment</t>
        </is>
      </c>
      <c r="G744" s="2" t="inlineStr">
        <is>
          <t>Entertainment</t>
        </is>
      </c>
      <c r="H744" s="2" t="inlineStr">
        <is>
          <t>$835.26</t>
        </is>
      </c>
      <c r="I744" s="2" t="n">
        <v>4109.52</v>
      </c>
      <c r="J744" s="2" t="inlineStr">
        <is>
          <t>Branch Office</t>
        </is>
      </c>
      <c r="K744" s="2" t="inlineStr">
        <is>
          <t>N</t>
        </is>
      </c>
    </row>
    <row r="745">
      <c r="A745" s="2" t="inlineStr">
        <is>
          <t>TXN100745</t>
        </is>
      </c>
      <c r="B745" s="2" t="inlineStr">
        <is>
          <t xml:space="preserve">  CUST0745 </t>
        </is>
      </c>
      <c r="C745" s="2" t="inlineStr">
        <is>
          <t>2026-06-01 14:01:00</t>
        </is>
      </c>
      <c r="D745" s="2" t="n"/>
      <c r="E745" s="2" t="n">
        <v>29</v>
      </c>
      <c r="F745" s="2" t="inlineStr">
        <is>
          <t>Investment</t>
        </is>
      </c>
      <c r="G745" s="2" t="inlineStr">
        <is>
          <t>groceries</t>
        </is>
      </c>
      <c r="H745" s="2" t="inlineStr">
        <is>
          <t>$7463.82</t>
        </is>
      </c>
      <c r="I745" s="2" t="n">
        <v>33397.99</v>
      </c>
      <c r="J745" s="2" t="inlineStr">
        <is>
          <t>Branch Office</t>
        </is>
      </c>
      <c r="K745" s="2" t="inlineStr">
        <is>
          <t>N</t>
        </is>
      </c>
    </row>
    <row r="746">
      <c r="A746" s="2" t="inlineStr">
        <is>
          <t>TXN100746</t>
        </is>
      </c>
      <c r="B746" s="2" t="inlineStr">
        <is>
          <t xml:space="preserve">  CUST0746 </t>
        </is>
      </c>
      <c r="C746" s="2" t="inlineStr">
        <is>
          <t>2026-06-01 10:57:00</t>
        </is>
      </c>
      <c r="D746" s="3" t="inlineStr"/>
      <c r="E746" s="2" t="n">
        <v>56</v>
      </c>
      <c r="F746" s="2" t="inlineStr">
        <is>
          <t>Savings</t>
        </is>
      </c>
      <c r="G746" s="2" t="inlineStr">
        <is>
          <t>Travel</t>
        </is>
      </c>
      <c r="H746" s="2" t="inlineStr">
        <is>
          <t>$5663.77</t>
        </is>
      </c>
      <c r="I746" s="2" t="n">
        <v>38664.04</v>
      </c>
      <c r="J746" s="2" t="inlineStr">
        <is>
          <t>ATM</t>
        </is>
      </c>
      <c r="K746" s="2" t="inlineStr">
        <is>
          <t>N</t>
        </is>
      </c>
    </row>
    <row r="747">
      <c r="A747" s="2" t="inlineStr">
        <is>
          <t>TXN100747</t>
        </is>
      </c>
      <c r="B747" s="2" t="inlineStr">
        <is>
          <t xml:space="preserve">  CUST0747 </t>
        </is>
      </c>
      <c r="C747" s="2" t="inlineStr">
        <is>
          <t>2026-06-01 13:25:00</t>
        </is>
      </c>
      <c r="D747" s="2" t="inlineStr">
        <is>
          <t>MALE</t>
        </is>
      </c>
      <c r="E747" s="2" t="n">
        <v>54</v>
      </c>
      <c r="F747" s="2" t="inlineStr">
        <is>
          <t>Savings</t>
        </is>
      </c>
      <c r="G747" s="2" t="inlineStr">
        <is>
          <t>groceries</t>
        </is>
      </c>
      <c r="H747" s="2" t="inlineStr">
        <is>
          <t>$3081.55</t>
        </is>
      </c>
      <c r="I747" s="2" t="n">
        <v>34618.43</v>
      </c>
      <c r="J747" s="2" t="inlineStr">
        <is>
          <t>ATM</t>
        </is>
      </c>
      <c r="K747" s="2" t="inlineStr">
        <is>
          <t>N</t>
        </is>
      </c>
    </row>
    <row r="748">
      <c r="A748" s="2" t="inlineStr">
        <is>
          <t>TXN100748</t>
        </is>
      </c>
      <c r="B748" s="2" t="inlineStr">
        <is>
          <t xml:space="preserve">  CUST0748 </t>
        </is>
      </c>
      <c r="C748" s="2" t="inlineStr">
        <is>
          <t>2026-06-01 03:36:00</t>
        </is>
      </c>
      <c r="D748" s="2" t="inlineStr">
        <is>
          <t>Female</t>
        </is>
      </c>
      <c r="E748" s="2" t="n">
        <v>41</v>
      </c>
      <c r="F748" s="2" t="inlineStr">
        <is>
          <t>Investment</t>
        </is>
      </c>
      <c r="G748" s="2" t="inlineStr">
        <is>
          <t>Entertainment</t>
        </is>
      </c>
      <c r="H748" s="2" t="inlineStr">
        <is>
          <t>$3210.91</t>
        </is>
      </c>
      <c r="I748" s="2" t="n">
        <v>31797.49</v>
      </c>
      <c r="J748" s="2" t="inlineStr">
        <is>
          <t xml:space="preserve">Mobile App </t>
        </is>
      </c>
      <c r="K748" s="2" t="inlineStr">
        <is>
          <t>N</t>
        </is>
      </c>
    </row>
    <row r="749">
      <c r="A749" s="2" t="inlineStr">
        <is>
          <t>TXN100749</t>
        </is>
      </c>
      <c r="B749" s="2" t="inlineStr">
        <is>
          <t xml:space="preserve">  CUST0749 </t>
        </is>
      </c>
      <c r="C749" s="2" t="inlineStr">
        <is>
          <t>2026-06-01 11:34:00</t>
        </is>
      </c>
      <c r="D749" s="2" t="inlineStr">
        <is>
          <t>Female</t>
        </is>
      </c>
      <c r="E749" s="2" t="n">
        <v>25</v>
      </c>
      <c r="F749" s="2" t="inlineStr">
        <is>
          <t>Checking</t>
        </is>
      </c>
      <c r="G749" s="2" t="inlineStr">
        <is>
          <t>Entertainment</t>
        </is>
      </c>
      <c r="H749" s="2" t="inlineStr">
        <is>
          <t>$5185.86</t>
        </is>
      </c>
      <c r="I749" s="2" t="n">
        <v>9242.610000000001</v>
      </c>
      <c r="J749" s="2" t="inlineStr">
        <is>
          <t xml:space="preserve">Mobile App </t>
        </is>
      </c>
      <c r="K749" s="2" t="inlineStr">
        <is>
          <t>N</t>
        </is>
      </c>
    </row>
    <row r="750">
      <c r="A750" s="2" t="inlineStr">
        <is>
          <t>TXN100750</t>
        </is>
      </c>
      <c r="B750" s="2" t="inlineStr">
        <is>
          <t xml:space="preserve">  CUST0750 </t>
        </is>
      </c>
      <c r="C750" s="2" t="inlineStr">
        <is>
          <t>2026-06-01 12:42:00</t>
        </is>
      </c>
      <c r="D750" s="2" t="inlineStr">
        <is>
          <t>F</t>
        </is>
      </c>
      <c r="E750" s="2" t="n">
        <v>39</v>
      </c>
      <c r="F750" s="2" t="inlineStr">
        <is>
          <t>Investment</t>
        </is>
      </c>
      <c r="G750" s="2" t="inlineStr">
        <is>
          <t>Utilities</t>
        </is>
      </c>
      <c r="H750" s="2" t="inlineStr">
        <is>
          <t>$7172.72</t>
        </is>
      </c>
      <c r="I750" s="2" t="n">
        <v>31715.54</v>
      </c>
      <c r="J750" s="2" t="inlineStr">
        <is>
          <t>Branch Office</t>
        </is>
      </c>
      <c r="K750" s="2" t="inlineStr">
        <is>
          <t>N</t>
        </is>
      </c>
    </row>
    <row r="751">
      <c r="A751" s="2" t="inlineStr">
        <is>
          <t>TXN100751</t>
        </is>
      </c>
      <c r="B751" s="2" t="inlineStr">
        <is>
          <t xml:space="preserve">  CUST0751 </t>
        </is>
      </c>
      <c r="C751" s="2" t="inlineStr">
        <is>
          <t>2026-06-01 20:28:00</t>
        </is>
      </c>
      <c r="D751" s="2" t="inlineStr">
        <is>
          <t>F</t>
        </is>
      </c>
      <c r="E751" s="2" t="n">
        <v>28</v>
      </c>
      <c r="F751" s="2" t="inlineStr">
        <is>
          <t>Savings</t>
        </is>
      </c>
      <c r="G751" s="2" t="inlineStr">
        <is>
          <t>GROCERIES</t>
        </is>
      </c>
      <c r="H751" s="2" t="inlineStr">
        <is>
          <t>$212.66</t>
        </is>
      </c>
      <c r="I751" s="2" t="n">
        <v>49820.99</v>
      </c>
      <c r="J751" s="2" t="inlineStr">
        <is>
          <t>Online Banking</t>
        </is>
      </c>
      <c r="K751" s="2" t="inlineStr">
        <is>
          <t>N</t>
        </is>
      </c>
    </row>
    <row r="752">
      <c r="A752" s="2" t="inlineStr">
        <is>
          <t>TXN100752</t>
        </is>
      </c>
      <c r="B752" s="2" t="inlineStr">
        <is>
          <t xml:space="preserve">  CUST0752 </t>
        </is>
      </c>
      <c r="C752" s="2" t="inlineStr">
        <is>
          <t>2026-06-01 15:24:00</t>
        </is>
      </c>
      <c r="D752" s="2" t="inlineStr">
        <is>
          <t>MALE</t>
        </is>
      </c>
      <c r="E752" s="2" t="n">
        <v>70</v>
      </c>
      <c r="F752" s="2" t="inlineStr">
        <is>
          <t>Investment</t>
        </is>
      </c>
      <c r="G752" s="2" t="inlineStr">
        <is>
          <t>Entertainment</t>
        </is>
      </c>
      <c r="H752" s="2" t="inlineStr">
        <is>
          <t>$4002.48</t>
        </is>
      </c>
      <c r="I752" s="2" t="n">
        <v>48265.22</v>
      </c>
      <c r="J752" s="2" t="inlineStr">
        <is>
          <t>ATM</t>
        </is>
      </c>
      <c r="K752" s="2" t="inlineStr">
        <is>
          <t>N</t>
        </is>
      </c>
    </row>
    <row r="753">
      <c r="A753" s="2" t="inlineStr">
        <is>
          <t>TXN100753</t>
        </is>
      </c>
      <c r="B753" s="2" t="inlineStr">
        <is>
          <t xml:space="preserve">  CUST0753 </t>
        </is>
      </c>
      <c r="C753" s="2" t="inlineStr">
        <is>
          <t>2026-06-01 00:02:00</t>
        </is>
      </c>
      <c r="D753" s="2" t="inlineStr">
        <is>
          <t>Female</t>
        </is>
      </c>
      <c r="E753" s="2" t="n">
        <v>23</v>
      </c>
      <c r="F753" s="2" t="inlineStr">
        <is>
          <t>Checking</t>
        </is>
      </c>
      <c r="G753" s="2" t="inlineStr">
        <is>
          <t>groceries</t>
        </is>
      </c>
      <c r="H753" s="2" t="inlineStr">
        <is>
          <t>$3250.01</t>
        </is>
      </c>
      <c r="I753" s="2" t="n">
        <v>10978.07</v>
      </c>
      <c r="J753" s="2" t="inlineStr">
        <is>
          <t>ATM</t>
        </is>
      </c>
      <c r="K753" s="2" t="inlineStr">
        <is>
          <t>N</t>
        </is>
      </c>
    </row>
    <row r="754">
      <c r="A754" s="2" t="inlineStr">
        <is>
          <t>TXN100754</t>
        </is>
      </c>
      <c r="B754" s="2" t="inlineStr">
        <is>
          <t xml:space="preserve">  CUST0754 </t>
        </is>
      </c>
      <c r="C754" s="2" t="inlineStr">
        <is>
          <t>2026-06-01 21:55:00</t>
        </is>
      </c>
      <c r="D754" s="2" t="inlineStr">
        <is>
          <t>Male</t>
        </is>
      </c>
      <c r="E754" s="2" t="n">
        <v>67</v>
      </c>
      <c r="F754" s="2" t="inlineStr">
        <is>
          <t>Investment</t>
        </is>
      </c>
      <c r="G754" s="2" t="inlineStr">
        <is>
          <t>GROCERIES</t>
        </is>
      </c>
      <c r="H754" s="2" t="inlineStr">
        <is>
          <t>$7399.28</t>
        </is>
      </c>
      <c r="I754" s="2" t="n">
        <v>2325.44</v>
      </c>
      <c r="J754" s="2" t="inlineStr">
        <is>
          <t>Online Banking</t>
        </is>
      </c>
      <c r="K754" s="2" t="inlineStr">
        <is>
          <t>N</t>
        </is>
      </c>
    </row>
    <row r="755">
      <c r="A755" s="2" t="inlineStr">
        <is>
          <t>TXN100755</t>
        </is>
      </c>
      <c r="B755" s="2" t="inlineStr">
        <is>
          <t xml:space="preserve">  CUST0755 </t>
        </is>
      </c>
      <c r="C755" s="2" t="inlineStr">
        <is>
          <t>2026-06-01 00:30:00</t>
        </is>
      </c>
      <c r="D755" s="2" t="inlineStr">
        <is>
          <t>M</t>
        </is>
      </c>
      <c r="E755" s="2" t="n">
        <v>35</v>
      </c>
      <c r="F755" s="2" t="inlineStr">
        <is>
          <t>Investment</t>
        </is>
      </c>
      <c r="G755" s="2" t="inlineStr">
        <is>
          <t>GROCERIES</t>
        </is>
      </c>
      <c r="H755" s="2" t="inlineStr">
        <is>
          <t>$124.78</t>
        </is>
      </c>
      <c r="I755" s="2" t="n">
        <v>31816.74</v>
      </c>
      <c r="J755" s="2" t="inlineStr">
        <is>
          <t>Branch Office</t>
        </is>
      </c>
      <c r="K755" s="2" t="inlineStr">
        <is>
          <t>N</t>
        </is>
      </c>
    </row>
    <row r="756">
      <c r="A756" s="2" t="inlineStr">
        <is>
          <t>TXN100756</t>
        </is>
      </c>
      <c r="B756" s="2" t="inlineStr">
        <is>
          <t xml:space="preserve">  CUST0756 </t>
        </is>
      </c>
      <c r="C756" s="2" t="inlineStr">
        <is>
          <t>2026-06-01 03:29:00</t>
        </is>
      </c>
      <c r="D756" s="2" t="inlineStr">
        <is>
          <t>Male</t>
        </is>
      </c>
      <c r="E756" s="2" t="n">
        <v>73</v>
      </c>
      <c r="F756" s="2" t="inlineStr">
        <is>
          <t>Investment</t>
        </is>
      </c>
      <c r="G756" s="2" t="inlineStr">
        <is>
          <t>groceries</t>
        </is>
      </c>
      <c r="H756" s="2" t="inlineStr">
        <is>
          <t>$6544.22</t>
        </is>
      </c>
      <c r="I756" s="2" t="n">
        <v>5763.39</v>
      </c>
      <c r="J756" s="2" t="inlineStr">
        <is>
          <t>ATM</t>
        </is>
      </c>
      <c r="K756" s="2" t="inlineStr">
        <is>
          <t>N</t>
        </is>
      </c>
    </row>
    <row r="757">
      <c r="A757" s="2" t="inlineStr">
        <is>
          <t>TXN100757</t>
        </is>
      </c>
      <c r="B757" s="2" t="inlineStr">
        <is>
          <t xml:space="preserve">  CUST0757 </t>
        </is>
      </c>
      <c r="C757" s="2" t="inlineStr">
        <is>
          <t>2026-06-01 19:51:00</t>
        </is>
      </c>
      <c r="D757" s="2" t="inlineStr">
        <is>
          <t>F</t>
        </is>
      </c>
      <c r="E757" s="2" t="n">
        <v>24</v>
      </c>
      <c r="F757" s="2" t="inlineStr">
        <is>
          <t>Savings</t>
        </is>
      </c>
      <c r="G757" s="2" t="inlineStr">
        <is>
          <t>Utilities</t>
        </is>
      </c>
      <c r="H757" s="2" t="inlineStr">
        <is>
          <t>$2705.37</t>
        </is>
      </c>
      <c r="I757" s="2" t="n">
        <v>41876.85</v>
      </c>
      <c r="J757" s="2" t="inlineStr">
        <is>
          <t>ATM</t>
        </is>
      </c>
      <c r="K757" s="2" t="inlineStr">
        <is>
          <t>N</t>
        </is>
      </c>
    </row>
    <row r="758">
      <c r="A758" s="2" t="inlineStr">
        <is>
          <t>TXN100758</t>
        </is>
      </c>
      <c r="B758" s="2" t="inlineStr">
        <is>
          <t xml:space="preserve">  CUST0758 </t>
        </is>
      </c>
      <c r="C758" s="2" t="inlineStr">
        <is>
          <t>2026-06-01 10:07:00</t>
        </is>
      </c>
      <c r="D758" s="2" t="inlineStr">
        <is>
          <t>Male</t>
        </is>
      </c>
      <c r="E758" s="2" t="n">
        <v>40</v>
      </c>
      <c r="F758" s="2" t="inlineStr">
        <is>
          <t>Savings</t>
        </is>
      </c>
      <c r="G758" s="2" t="inlineStr">
        <is>
          <t>groceries</t>
        </is>
      </c>
      <c r="H758" s="2" t="inlineStr">
        <is>
          <t>$4748.75</t>
        </is>
      </c>
      <c r="I758" s="2" t="n">
        <v>17107.43</v>
      </c>
      <c r="J758" s="2" t="inlineStr">
        <is>
          <t xml:space="preserve">Mobile App </t>
        </is>
      </c>
      <c r="K758" s="2" t="inlineStr">
        <is>
          <t>N</t>
        </is>
      </c>
    </row>
    <row r="759">
      <c r="A759" s="2" t="inlineStr">
        <is>
          <t>TXN100759</t>
        </is>
      </c>
      <c r="B759" s="2" t="inlineStr">
        <is>
          <t xml:space="preserve">  CUST0759 </t>
        </is>
      </c>
      <c r="C759" s="2" t="inlineStr">
        <is>
          <t>2026-06-01 08:09:00</t>
        </is>
      </c>
      <c r="D759" s="3" t="inlineStr"/>
      <c r="E759" s="2" t="n">
        <v>30</v>
      </c>
      <c r="F759" s="2" t="inlineStr">
        <is>
          <t>Investment</t>
        </is>
      </c>
      <c r="G759" s="2" t="inlineStr">
        <is>
          <t>Entertainment</t>
        </is>
      </c>
      <c r="H759" s="2" t="inlineStr">
        <is>
          <t>$4431.73</t>
        </is>
      </c>
      <c r="I759" s="2" t="n">
        <v>22213.73</v>
      </c>
      <c r="J759" s="2" t="inlineStr">
        <is>
          <t xml:space="preserve">Mobile App </t>
        </is>
      </c>
      <c r="K759" s="2" t="inlineStr">
        <is>
          <t>N</t>
        </is>
      </c>
    </row>
    <row r="760">
      <c r="A760" s="2" t="inlineStr">
        <is>
          <t>TXN100760</t>
        </is>
      </c>
      <c r="B760" s="2" t="inlineStr">
        <is>
          <t xml:space="preserve">  CUST0760 </t>
        </is>
      </c>
      <c r="C760" s="2" t="inlineStr">
        <is>
          <t>2026-06-01 04:06:00</t>
        </is>
      </c>
      <c r="D760" s="3" t="inlineStr"/>
      <c r="E760" s="2" t="n">
        <v>69</v>
      </c>
      <c r="F760" s="2" t="inlineStr">
        <is>
          <t>Savings</t>
        </is>
      </c>
      <c r="G760" s="2" t="inlineStr">
        <is>
          <t>groceries</t>
        </is>
      </c>
      <c r="H760" s="2" t="inlineStr">
        <is>
          <t>$7038.22</t>
        </is>
      </c>
      <c r="I760" s="2" t="n">
        <v>4495.77</v>
      </c>
      <c r="J760" s="2" t="inlineStr">
        <is>
          <t xml:space="preserve">Mobile App </t>
        </is>
      </c>
      <c r="K760" s="2" t="inlineStr">
        <is>
          <t>N</t>
        </is>
      </c>
    </row>
    <row r="761">
      <c r="A761" s="2" t="inlineStr">
        <is>
          <t>TXN100761</t>
        </is>
      </c>
      <c r="B761" s="2" t="inlineStr">
        <is>
          <t xml:space="preserve">  CUST0761 </t>
        </is>
      </c>
      <c r="C761" s="2" t="inlineStr">
        <is>
          <t>2026-06-01 02:45:00</t>
        </is>
      </c>
      <c r="D761" s="2" t="inlineStr">
        <is>
          <t>female</t>
        </is>
      </c>
      <c r="E761" s="2" t="n">
        <v>46</v>
      </c>
      <c r="F761" s="2" t="inlineStr">
        <is>
          <t>Investment</t>
        </is>
      </c>
      <c r="G761" s="2" t="inlineStr">
        <is>
          <t>Utilities</t>
        </is>
      </c>
      <c r="H761" s="2" t="inlineStr">
        <is>
          <t>$5541.94</t>
        </is>
      </c>
      <c r="I761" s="2" t="n">
        <v>10704.93</v>
      </c>
      <c r="J761" s="2" t="inlineStr">
        <is>
          <t>Branch Office</t>
        </is>
      </c>
      <c r="K761" s="2" t="inlineStr">
        <is>
          <t>N</t>
        </is>
      </c>
    </row>
    <row r="762">
      <c r="A762" s="2" t="inlineStr">
        <is>
          <t>TXN100762</t>
        </is>
      </c>
      <c r="B762" s="2" t="inlineStr">
        <is>
          <t xml:space="preserve">  CUST0762 </t>
        </is>
      </c>
      <c r="C762" s="2" t="inlineStr">
        <is>
          <t>2026-06-01 16:28:00</t>
        </is>
      </c>
      <c r="D762" s="3" t="inlineStr"/>
      <c r="E762" s="2" t="n">
        <v>35</v>
      </c>
      <c r="F762" s="2" t="inlineStr">
        <is>
          <t>Savings</t>
        </is>
      </c>
      <c r="G762" s="2" t="inlineStr">
        <is>
          <t>Travel</t>
        </is>
      </c>
      <c r="H762" s="2" t="inlineStr">
        <is>
          <t>$5536.47</t>
        </is>
      </c>
      <c r="I762" s="2" t="n">
        <v>30015.46</v>
      </c>
      <c r="J762" s="2" t="inlineStr">
        <is>
          <t>ATM</t>
        </is>
      </c>
      <c r="K762" s="2" t="inlineStr">
        <is>
          <t>N</t>
        </is>
      </c>
    </row>
    <row r="763">
      <c r="A763" s="2" t="inlineStr">
        <is>
          <t>TXN100763</t>
        </is>
      </c>
      <c r="B763" s="2" t="inlineStr">
        <is>
          <t xml:space="preserve">  CUST0763 </t>
        </is>
      </c>
      <c r="C763" s="2" t="inlineStr">
        <is>
          <t>2026-06-01 19:05:00</t>
        </is>
      </c>
      <c r="D763" s="2" t="inlineStr">
        <is>
          <t>female</t>
        </is>
      </c>
      <c r="E763" s="2" t="n">
        <v>42</v>
      </c>
      <c r="F763" s="2" t="inlineStr">
        <is>
          <t>Checking</t>
        </is>
      </c>
      <c r="G763" s="2" t="inlineStr">
        <is>
          <t>groceries</t>
        </is>
      </c>
      <c r="H763" s="2" t="inlineStr">
        <is>
          <t>$4466.11</t>
        </is>
      </c>
      <c r="I763" s="2" t="n">
        <v>9999.190000000001</v>
      </c>
      <c r="J763" s="2" t="inlineStr">
        <is>
          <t xml:space="preserve">Mobile App </t>
        </is>
      </c>
      <c r="K763" s="2" t="inlineStr">
        <is>
          <t>N</t>
        </is>
      </c>
    </row>
    <row r="764">
      <c r="A764" s="2" t="inlineStr">
        <is>
          <t>TXN100764</t>
        </is>
      </c>
      <c r="B764" s="2" t="inlineStr">
        <is>
          <t xml:space="preserve">  CUST0764 </t>
        </is>
      </c>
      <c r="C764" s="2" t="inlineStr">
        <is>
          <t>2026-06-01 19:23:00</t>
        </is>
      </c>
      <c r="D764" s="2" t="inlineStr">
        <is>
          <t>F</t>
        </is>
      </c>
      <c r="E764" s="2" t="n">
        <v>49</v>
      </c>
      <c r="F764" s="2" t="inlineStr">
        <is>
          <t>Investment</t>
        </is>
      </c>
      <c r="G764" s="2" t="inlineStr">
        <is>
          <t>GROCERIES</t>
        </is>
      </c>
      <c r="H764" s="2" t="inlineStr">
        <is>
          <t>$2218.65</t>
        </is>
      </c>
      <c r="I764" s="2" t="n">
        <v>10089.09</v>
      </c>
      <c r="J764" s="2" t="inlineStr">
        <is>
          <t>Online Banking</t>
        </is>
      </c>
      <c r="K764" s="2" t="inlineStr">
        <is>
          <t>N</t>
        </is>
      </c>
    </row>
    <row r="765">
      <c r="A765" s="2" t="inlineStr">
        <is>
          <t>TXN100765</t>
        </is>
      </c>
      <c r="B765" s="2" t="inlineStr">
        <is>
          <t xml:space="preserve">  CUST0765 </t>
        </is>
      </c>
      <c r="C765" s="2" t="inlineStr">
        <is>
          <t>2026-06-01 21:54:00</t>
        </is>
      </c>
      <c r="D765" s="2" t="n"/>
      <c r="E765" s="2" t="n">
        <v>51</v>
      </c>
      <c r="F765" s="2" t="inlineStr">
        <is>
          <t>Savings</t>
        </is>
      </c>
      <c r="G765" s="2" t="inlineStr">
        <is>
          <t>GROCERIES</t>
        </is>
      </c>
      <c r="H765" s="2" t="inlineStr">
        <is>
          <t>$5364.44</t>
        </is>
      </c>
      <c r="I765" s="2" t="n">
        <v>2634.22</v>
      </c>
      <c r="J765" s="2" t="inlineStr">
        <is>
          <t>Branch Office</t>
        </is>
      </c>
      <c r="K765" s="2" t="inlineStr">
        <is>
          <t>N</t>
        </is>
      </c>
    </row>
    <row r="766">
      <c r="A766" s="2" t="inlineStr">
        <is>
          <t>TXN100766</t>
        </is>
      </c>
      <c r="B766" s="2" t="inlineStr">
        <is>
          <t xml:space="preserve">  CUST0766 </t>
        </is>
      </c>
      <c r="C766" s="2" t="inlineStr">
        <is>
          <t>2026-06-01 09:13:00</t>
        </is>
      </c>
      <c r="D766" s="3" t="inlineStr"/>
      <c r="E766" s="2" t="n">
        <v>36</v>
      </c>
      <c r="F766" s="2" t="inlineStr">
        <is>
          <t>Checking</t>
        </is>
      </c>
      <c r="G766" s="2" t="inlineStr">
        <is>
          <t>Travel</t>
        </is>
      </c>
      <c r="H766" s="2" t="inlineStr">
        <is>
          <t>$6443.18</t>
        </is>
      </c>
      <c r="I766" s="2" t="n">
        <v>38041.2</v>
      </c>
      <c r="J766" s="2" t="inlineStr">
        <is>
          <t xml:space="preserve">Mobile App </t>
        </is>
      </c>
      <c r="K766" s="2" t="inlineStr">
        <is>
          <t>N</t>
        </is>
      </c>
    </row>
    <row r="767">
      <c r="A767" s="2" t="inlineStr">
        <is>
          <t>TXN100767</t>
        </is>
      </c>
      <c r="B767" s="2" t="inlineStr">
        <is>
          <t xml:space="preserve">  CUST0767 </t>
        </is>
      </c>
      <c r="C767" s="2" t="inlineStr">
        <is>
          <t>2026-06-01 03:47:00</t>
        </is>
      </c>
      <c r="D767" s="2" t="inlineStr">
        <is>
          <t>M</t>
        </is>
      </c>
      <c r="E767" s="2" t="n">
        <v>54</v>
      </c>
      <c r="F767" s="2" t="inlineStr">
        <is>
          <t>Savings</t>
        </is>
      </c>
      <c r="G767" s="2" t="inlineStr">
        <is>
          <t>GROCERIES</t>
        </is>
      </c>
      <c r="H767" s="2" t="inlineStr">
        <is>
          <t>$6286.08</t>
        </is>
      </c>
      <c r="I767" s="2" t="n">
        <v>24510.54</v>
      </c>
      <c r="J767" s="2" t="inlineStr">
        <is>
          <t xml:space="preserve">Mobile App </t>
        </is>
      </c>
      <c r="K767" s="2" t="inlineStr">
        <is>
          <t>N</t>
        </is>
      </c>
    </row>
    <row r="768">
      <c r="A768" s="2" t="inlineStr">
        <is>
          <t>TXN100768</t>
        </is>
      </c>
      <c r="B768" s="2" t="inlineStr">
        <is>
          <t xml:space="preserve">  CUST0768 </t>
        </is>
      </c>
      <c r="C768" s="2" t="inlineStr">
        <is>
          <t>2026-06-01 02:57:00</t>
        </is>
      </c>
      <c r="D768" s="2" t="inlineStr">
        <is>
          <t>F</t>
        </is>
      </c>
      <c r="E768" s="2" t="n">
        <v>66</v>
      </c>
      <c r="F768" s="2" t="inlineStr">
        <is>
          <t>Checking</t>
        </is>
      </c>
      <c r="G768" s="2" t="inlineStr">
        <is>
          <t>Travel</t>
        </is>
      </c>
      <c r="H768" s="2" t="inlineStr">
        <is>
          <t>$4642.3</t>
        </is>
      </c>
      <c r="I768" s="2" t="n">
        <v>21243.78</v>
      </c>
      <c r="J768" s="2" t="inlineStr">
        <is>
          <t>Branch Office</t>
        </is>
      </c>
      <c r="K768" s="2" t="inlineStr">
        <is>
          <t>N</t>
        </is>
      </c>
    </row>
    <row r="769">
      <c r="A769" s="2" t="inlineStr">
        <is>
          <t>TXN100769</t>
        </is>
      </c>
      <c r="B769" s="2" t="inlineStr">
        <is>
          <t xml:space="preserve">  CUST0769 </t>
        </is>
      </c>
      <c r="C769" s="2" t="inlineStr">
        <is>
          <t>2026-06-01 07:49:00</t>
        </is>
      </c>
      <c r="D769" s="2" t="inlineStr">
        <is>
          <t>MALE</t>
        </is>
      </c>
      <c r="E769" s="2" t="n">
        <v>40</v>
      </c>
      <c r="F769" s="2" t="inlineStr">
        <is>
          <t>Savings</t>
        </is>
      </c>
      <c r="G769" s="2" t="inlineStr">
        <is>
          <t>groceries</t>
        </is>
      </c>
      <c r="H769" s="2" t="inlineStr">
        <is>
          <t>$1904.58</t>
        </is>
      </c>
      <c r="I769" s="2" t="n">
        <v>20923.48</v>
      </c>
      <c r="J769" s="2" t="inlineStr">
        <is>
          <t>Online Banking</t>
        </is>
      </c>
      <c r="K769" s="2" t="inlineStr">
        <is>
          <t>N</t>
        </is>
      </c>
    </row>
    <row r="770">
      <c r="A770" s="2" t="inlineStr">
        <is>
          <t>TXN100770</t>
        </is>
      </c>
      <c r="B770" s="2" t="inlineStr">
        <is>
          <t xml:space="preserve">  CUST0770 </t>
        </is>
      </c>
      <c r="C770" s="2" t="inlineStr">
        <is>
          <t>2026-06-01 12:57:00</t>
        </is>
      </c>
      <c r="D770" s="2" t="inlineStr">
        <is>
          <t>F</t>
        </is>
      </c>
      <c r="E770" s="2" t="n">
        <v>24</v>
      </c>
      <c r="F770" s="2" t="inlineStr">
        <is>
          <t>Checking</t>
        </is>
      </c>
      <c r="G770" s="2" t="inlineStr">
        <is>
          <t>Travel</t>
        </is>
      </c>
      <c r="H770" s="2" t="inlineStr">
        <is>
          <t>$3880.42</t>
        </is>
      </c>
      <c r="I770" s="2" t="n">
        <v>44579.2</v>
      </c>
      <c r="J770" s="2" t="inlineStr">
        <is>
          <t>Online Banking</t>
        </is>
      </c>
      <c r="K770" s="2" t="inlineStr">
        <is>
          <t>N</t>
        </is>
      </c>
    </row>
    <row r="771">
      <c r="A771" s="2" t="inlineStr">
        <is>
          <t>TXN100771</t>
        </is>
      </c>
      <c r="B771" s="2" t="inlineStr">
        <is>
          <t xml:space="preserve">  CUST0771 </t>
        </is>
      </c>
      <c r="C771" s="2" t="inlineStr">
        <is>
          <t>2026-06-01 06:59:00</t>
        </is>
      </c>
      <c r="D771" s="2" t="n"/>
      <c r="E771" s="2" t="n">
        <v>31</v>
      </c>
      <c r="F771" s="2" t="inlineStr">
        <is>
          <t>Checking</t>
        </is>
      </c>
      <c r="G771" s="2" t="inlineStr">
        <is>
          <t>Entertainment</t>
        </is>
      </c>
      <c r="H771" s="2" t="inlineStr">
        <is>
          <t>$1099.87</t>
        </is>
      </c>
      <c r="I771" s="2" t="n">
        <v>36131.15</v>
      </c>
      <c r="J771" s="2" t="inlineStr">
        <is>
          <t>Branch Office</t>
        </is>
      </c>
      <c r="K771" s="2" t="inlineStr">
        <is>
          <t>N</t>
        </is>
      </c>
    </row>
    <row r="772">
      <c r="A772" s="2" t="inlineStr">
        <is>
          <t>TXN100772</t>
        </is>
      </c>
      <c r="B772" s="2" t="inlineStr">
        <is>
          <t xml:space="preserve">  CUST0772 </t>
        </is>
      </c>
      <c r="C772" s="2" t="inlineStr">
        <is>
          <t>2026-06-01 08:12:00</t>
        </is>
      </c>
      <c r="D772" s="2" t="inlineStr">
        <is>
          <t>Female</t>
        </is>
      </c>
      <c r="E772" s="2" t="n">
        <v>28</v>
      </c>
      <c r="F772" s="2" t="inlineStr">
        <is>
          <t>Savings</t>
        </is>
      </c>
      <c r="G772" s="2" t="inlineStr">
        <is>
          <t>Travel</t>
        </is>
      </c>
      <c r="H772" s="2" t="inlineStr">
        <is>
          <t>$486.62</t>
        </is>
      </c>
      <c r="I772" s="2" t="n">
        <v>7256.82</v>
      </c>
      <c r="J772" s="2" t="inlineStr">
        <is>
          <t>ATM</t>
        </is>
      </c>
      <c r="K772" s="2" t="inlineStr">
        <is>
          <t>N</t>
        </is>
      </c>
    </row>
    <row r="773">
      <c r="A773" s="2" t="inlineStr">
        <is>
          <t>TXN100773</t>
        </is>
      </c>
      <c r="B773" s="2" t="inlineStr">
        <is>
          <t xml:space="preserve">  CUST0773 </t>
        </is>
      </c>
      <c r="C773" s="2" t="inlineStr">
        <is>
          <t>2026-06-01 14:26:00</t>
        </is>
      </c>
      <c r="D773" s="2" t="inlineStr">
        <is>
          <t>Male</t>
        </is>
      </c>
      <c r="E773" s="2" t="n">
        <v>68</v>
      </c>
      <c r="F773" s="2" t="inlineStr">
        <is>
          <t>Checking</t>
        </is>
      </c>
      <c r="G773" s="2" t="inlineStr">
        <is>
          <t>GROCERIES</t>
        </is>
      </c>
      <c r="H773" s="2" t="inlineStr">
        <is>
          <t>$7092.41</t>
        </is>
      </c>
      <c r="I773" s="2" t="n">
        <v>30379.98</v>
      </c>
      <c r="J773" s="2" t="inlineStr">
        <is>
          <t>Online Banking</t>
        </is>
      </c>
      <c r="K773" s="2" t="inlineStr">
        <is>
          <t>Y</t>
        </is>
      </c>
    </row>
    <row r="774">
      <c r="A774" s="2" t="inlineStr">
        <is>
          <t>TXN100774</t>
        </is>
      </c>
      <c r="B774" s="2" t="inlineStr">
        <is>
          <t xml:space="preserve">  CUST0774 </t>
        </is>
      </c>
      <c r="C774" s="2" t="inlineStr">
        <is>
          <t>2026-06-01 17:54:00</t>
        </is>
      </c>
      <c r="D774" s="2" t="inlineStr">
        <is>
          <t>F</t>
        </is>
      </c>
      <c r="E774" s="2" t="n">
        <v>25</v>
      </c>
      <c r="F774" s="2" t="inlineStr">
        <is>
          <t>Checking</t>
        </is>
      </c>
      <c r="G774" s="2" t="inlineStr">
        <is>
          <t>Travel</t>
        </is>
      </c>
      <c r="H774" s="2" t="inlineStr">
        <is>
          <t>$3918.82</t>
        </is>
      </c>
      <c r="I774" s="2" t="n">
        <v>49785.38</v>
      </c>
      <c r="J774" s="2" t="inlineStr">
        <is>
          <t>ATM</t>
        </is>
      </c>
      <c r="K774" s="2" t="inlineStr">
        <is>
          <t>N</t>
        </is>
      </c>
    </row>
    <row r="775">
      <c r="A775" s="2" t="inlineStr">
        <is>
          <t>TXN100775</t>
        </is>
      </c>
      <c r="B775" s="2" t="inlineStr">
        <is>
          <t xml:space="preserve">  CUST0775 </t>
        </is>
      </c>
      <c r="C775" s="2" t="inlineStr">
        <is>
          <t>2026-06-01 14:17:00</t>
        </is>
      </c>
      <c r="D775" s="2" t="inlineStr">
        <is>
          <t>M</t>
        </is>
      </c>
      <c r="E775" s="2" t="n">
        <v>66</v>
      </c>
      <c r="F775" s="2" t="inlineStr">
        <is>
          <t>Checking</t>
        </is>
      </c>
      <c r="G775" s="2" t="inlineStr">
        <is>
          <t>GROCERIES</t>
        </is>
      </c>
      <c r="H775" s="2" t="inlineStr">
        <is>
          <t>$1990.17</t>
        </is>
      </c>
      <c r="I775" s="2" t="n">
        <v>21995.31</v>
      </c>
      <c r="J775" s="2" t="inlineStr">
        <is>
          <t>Online Banking</t>
        </is>
      </c>
      <c r="K775" s="2" t="inlineStr">
        <is>
          <t>N</t>
        </is>
      </c>
    </row>
    <row r="776">
      <c r="A776" s="2" t="inlineStr">
        <is>
          <t>TXN100776</t>
        </is>
      </c>
      <c r="B776" s="2" t="inlineStr">
        <is>
          <t xml:space="preserve">  CUST0776 </t>
        </is>
      </c>
      <c r="C776" s="2" t="inlineStr">
        <is>
          <t>2026-06-01 18:09:00</t>
        </is>
      </c>
      <c r="D776" s="2" t="inlineStr">
        <is>
          <t>M</t>
        </is>
      </c>
      <c r="E776" s="2" t="n">
        <v>46</v>
      </c>
      <c r="F776" s="2" t="inlineStr">
        <is>
          <t>Savings</t>
        </is>
      </c>
      <c r="G776" s="2" t="inlineStr">
        <is>
          <t>groceries</t>
        </is>
      </c>
      <c r="H776" s="2" t="inlineStr">
        <is>
          <t>$7930.28</t>
        </is>
      </c>
      <c r="I776" s="2" t="n">
        <v>36807.08</v>
      </c>
      <c r="J776" s="2" t="inlineStr">
        <is>
          <t xml:space="preserve">Mobile App </t>
        </is>
      </c>
      <c r="K776" s="2" t="inlineStr">
        <is>
          <t>N</t>
        </is>
      </c>
    </row>
    <row r="777">
      <c r="A777" s="2" t="inlineStr">
        <is>
          <t>TXN100777</t>
        </is>
      </c>
      <c r="B777" s="2" t="inlineStr">
        <is>
          <t xml:space="preserve">  CUST0777 </t>
        </is>
      </c>
      <c r="C777" s="2" t="inlineStr">
        <is>
          <t>2026-06-01 12:30:00</t>
        </is>
      </c>
      <c r="D777" s="2" t="inlineStr">
        <is>
          <t>MALE</t>
        </is>
      </c>
      <c r="E777" s="2" t="n">
        <v>48</v>
      </c>
      <c r="F777" s="2" t="inlineStr">
        <is>
          <t>Checking</t>
        </is>
      </c>
      <c r="G777" s="2" t="inlineStr">
        <is>
          <t>GROCERIES</t>
        </is>
      </c>
      <c r="H777" s="2" t="inlineStr">
        <is>
          <t>$673.9</t>
        </is>
      </c>
      <c r="I777" s="2" t="n">
        <v>37777.4</v>
      </c>
      <c r="J777" s="2" t="inlineStr">
        <is>
          <t>ATM</t>
        </is>
      </c>
      <c r="K777" s="2" t="inlineStr">
        <is>
          <t>N</t>
        </is>
      </c>
    </row>
    <row r="778">
      <c r="A778" s="2" t="inlineStr">
        <is>
          <t>TXN100778</t>
        </is>
      </c>
      <c r="B778" s="2" t="inlineStr">
        <is>
          <t xml:space="preserve">  CUST0778 </t>
        </is>
      </c>
      <c r="C778" s="2" t="inlineStr">
        <is>
          <t>2026-06-01 06:08:00</t>
        </is>
      </c>
      <c r="D778" s="2" t="inlineStr">
        <is>
          <t>Female</t>
        </is>
      </c>
      <c r="E778" s="2" t="n">
        <v>38</v>
      </c>
      <c r="F778" s="2" t="inlineStr">
        <is>
          <t>Savings</t>
        </is>
      </c>
      <c r="G778" s="2" t="inlineStr">
        <is>
          <t>groceries</t>
        </is>
      </c>
      <c r="H778" s="2" t="inlineStr">
        <is>
          <t>$137.28</t>
        </is>
      </c>
      <c r="I778" s="2" t="n">
        <v>33617.26</v>
      </c>
      <c r="J778" s="2" t="inlineStr">
        <is>
          <t>Online Banking</t>
        </is>
      </c>
      <c r="K778" s="2" t="inlineStr">
        <is>
          <t>N</t>
        </is>
      </c>
    </row>
    <row r="779">
      <c r="A779" s="2" t="inlineStr">
        <is>
          <t>TXN100779</t>
        </is>
      </c>
      <c r="B779" s="2" t="inlineStr">
        <is>
          <t xml:space="preserve">  CUST0779 </t>
        </is>
      </c>
      <c r="C779" s="2" t="inlineStr">
        <is>
          <t>2026-06-01 22:29:00</t>
        </is>
      </c>
      <c r="D779" s="2" t="inlineStr">
        <is>
          <t>M</t>
        </is>
      </c>
      <c r="E779" s="2" t="n">
        <v>49</v>
      </c>
      <c r="F779" s="2" t="inlineStr">
        <is>
          <t>Checking</t>
        </is>
      </c>
      <c r="G779" s="2" t="inlineStr">
        <is>
          <t>GROCERIES</t>
        </is>
      </c>
      <c r="H779" s="2" t="inlineStr">
        <is>
          <t>$6994.85</t>
        </is>
      </c>
      <c r="I779" s="2" t="n">
        <v>20565.34</v>
      </c>
      <c r="J779" s="2" t="inlineStr">
        <is>
          <t>Branch Office</t>
        </is>
      </c>
      <c r="K779" s="2" t="inlineStr">
        <is>
          <t>N</t>
        </is>
      </c>
    </row>
    <row r="780">
      <c r="A780" s="2" t="inlineStr">
        <is>
          <t>TXN100780</t>
        </is>
      </c>
      <c r="B780" s="2" t="inlineStr">
        <is>
          <t xml:space="preserve">  CUST0780 </t>
        </is>
      </c>
      <c r="C780" s="2" t="inlineStr">
        <is>
          <t>2026-06-01 20:29:00</t>
        </is>
      </c>
      <c r="D780" s="2" t="inlineStr">
        <is>
          <t>M</t>
        </is>
      </c>
      <c r="E780" s="2" t="n">
        <v>75</v>
      </c>
      <c r="F780" s="2" t="inlineStr">
        <is>
          <t>Investment</t>
        </is>
      </c>
      <c r="G780" s="2" t="inlineStr">
        <is>
          <t>groceries</t>
        </is>
      </c>
      <c r="H780" s="2" t="inlineStr">
        <is>
          <t>$3085.19</t>
        </is>
      </c>
      <c r="I780" s="2" t="n">
        <v>34692.16</v>
      </c>
      <c r="J780" s="2" t="inlineStr">
        <is>
          <t xml:space="preserve">Mobile App </t>
        </is>
      </c>
      <c r="K780" s="2" t="inlineStr">
        <is>
          <t>N</t>
        </is>
      </c>
    </row>
    <row r="781">
      <c r="A781" s="2" t="inlineStr">
        <is>
          <t>TXN100781</t>
        </is>
      </c>
      <c r="B781" s="2" t="inlineStr">
        <is>
          <t xml:space="preserve">  CUST0781 </t>
        </is>
      </c>
      <c r="C781" s="2" t="inlineStr">
        <is>
          <t>2026-06-01 09:27:00</t>
        </is>
      </c>
      <c r="D781" s="2" t="inlineStr">
        <is>
          <t>female</t>
        </is>
      </c>
      <c r="E781" s="2" t="n">
        <v>64</v>
      </c>
      <c r="F781" s="2" t="inlineStr">
        <is>
          <t>Investment</t>
        </is>
      </c>
      <c r="G781" s="2" t="inlineStr">
        <is>
          <t>Travel</t>
        </is>
      </c>
      <c r="H781" s="2" t="inlineStr">
        <is>
          <t>$4606.08</t>
        </is>
      </c>
      <c r="I781" s="2" t="n">
        <v>10753.75</v>
      </c>
      <c r="J781" s="2" t="inlineStr">
        <is>
          <t xml:space="preserve">Mobile App </t>
        </is>
      </c>
      <c r="K781" s="2" t="inlineStr">
        <is>
          <t>N</t>
        </is>
      </c>
    </row>
    <row r="782">
      <c r="A782" s="2" t="inlineStr">
        <is>
          <t>TXN100782</t>
        </is>
      </c>
      <c r="B782" s="2" t="inlineStr">
        <is>
          <t xml:space="preserve">  CUST0782 </t>
        </is>
      </c>
      <c r="C782" s="2" t="inlineStr">
        <is>
          <t>2026-06-01 19:56:00</t>
        </is>
      </c>
      <c r="D782" s="2" t="inlineStr">
        <is>
          <t>Female</t>
        </is>
      </c>
      <c r="E782" s="2" t="n">
        <v>67</v>
      </c>
      <c r="F782" s="2" t="inlineStr">
        <is>
          <t>Savings</t>
        </is>
      </c>
      <c r="G782" s="2" t="inlineStr">
        <is>
          <t>Travel</t>
        </is>
      </c>
      <c r="H782" s="2" t="inlineStr">
        <is>
          <t>$7563.12</t>
        </is>
      </c>
      <c r="I782" s="2" t="n">
        <v>33895.32</v>
      </c>
      <c r="J782" s="2" t="inlineStr">
        <is>
          <t xml:space="preserve">Mobile App </t>
        </is>
      </c>
      <c r="K782" s="2" t="inlineStr">
        <is>
          <t>N</t>
        </is>
      </c>
    </row>
    <row r="783">
      <c r="A783" s="2" t="inlineStr">
        <is>
          <t>TXN100783</t>
        </is>
      </c>
      <c r="B783" s="2" t="inlineStr">
        <is>
          <t xml:space="preserve">  CUST0783 </t>
        </is>
      </c>
      <c r="C783" s="2" t="inlineStr">
        <is>
          <t>2026-06-01 11:29:00</t>
        </is>
      </c>
      <c r="D783" s="2" t="inlineStr">
        <is>
          <t>M</t>
        </is>
      </c>
      <c r="E783" s="2" t="n">
        <v>43</v>
      </c>
      <c r="F783" s="2" t="inlineStr">
        <is>
          <t>Checking</t>
        </is>
      </c>
      <c r="G783" s="2" t="inlineStr">
        <is>
          <t>GROCERIES</t>
        </is>
      </c>
      <c r="H783" s="2" t="inlineStr">
        <is>
          <t>$5188.9</t>
        </is>
      </c>
      <c r="I783" s="2" t="n">
        <v>35391.25</v>
      </c>
      <c r="J783" s="2" t="inlineStr">
        <is>
          <t>Online Banking</t>
        </is>
      </c>
      <c r="K783" s="2" t="inlineStr">
        <is>
          <t>N</t>
        </is>
      </c>
    </row>
    <row r="784">
      <c r="A784" s="2" t="inlineStr">
        <is>
          <t>TXN100784</t>
        </is>
      </c>
      <c r="B784" s="2" t="inlineStr">
        <is>
          <t xml:space="preserve">  CUST0784 </t>
        </is>
      </c>
      <c r="C784" s="2" t="inlineStr">
        <is>
          <t>2026-06-01 04:21:00</t>
        </is>
      </c>
      <c r="D784" s="2" t="inlineStr">
        <is>
          <t>F</t>
        </is>
      </c>
      <c r="E784" s="2" t="n">
        <v>54</v>
      </c>
      <c r="F784" s="2" t="inlineStr">
        <is>
          <t>Savings</t>
        </is>
      </c>
      <c r="G784" s="2" t="inlineStr">
        <is>
          <t>Utilities</t>
        </is>
      </c>
      <c r="H784" s="2" t="inlineStr">
        <is>
          <t>$5901.67</t>
        </is>
      </c>
      <c r="I784" s="2" t="n">
        <v>37737.72</v>
      </c>
      <c r="J784" s="2" t="inlineStr">
        <is>
          <t>Online Banking</t>
        </is>
      </c>
      <c r="K784" s="2" t="inlineStr">
        <is>
          <t>N</t>
        </is>
      </c>
    </row>
    <row r="785">
      <c r="A785" s="2" t="inlineStr">
        <is>
          <t>TXN100785</t>
        </is>
      </c>
      <c r="B785" s="2" t="inlineStr">
        <is>
          <t xml:space="preserve">  CUST0785 </t>
        </is>
      </c>
      <c r="C785" s="2" t="inlineStr">
        <is>
          <t>2026-06-01 23:48:00</t>
        </is>
      </c>
      <c r="D785" s="2" t="inlineStr">
        <is>
          <t>F</t>
        </is>
      </c>
      <c r="E785" s="2" t="n">
        <v>40</v>
      </c>
      <c r="F785" s="2" t="inlineStr">
        <is>
          <t>Checking</t>
        </is>
      </c>
      <c r="G785" s="2" t="inlineStr">
        <is>
          <t>Entertainment</t>
        </is>
      </c>
      <c r="H785" s="2" t="inlineStr">
        <is>
          <t>$4033.49</t>
        </is>
      </c>
      <c r="I785" s="2" t="n">
        <v>21434.99</v>
      </c>
      <c r="J785" s="2" t="inlineStr">
        <is>
          <t xml:space="preserve">Mobile App </t>
        </is>
      </c>
      <c r="K785" s="2" t="inlineStr">
        <is>
          <t>N</t>
        </is>
      </c>
    </row>
    <row r="786">
      <c r="A786" s="2" t="inlineStr">
        <is>
          <t>TXN100786</t>
        </is>
      </c>
      <c r="B786" s="2" t="inlineStr">
        <is>
          <t xml:space="preserve">  CUST0786 </t>
        </is>
      </c>
      <c r="C786" s="2" t="inlineStr">
        <is>
          <t>2026-06-01 02:23:00</t>
        </is>
      </c>
      <c r="D786" s="2" t="inlineStr">
        <is>
          <t>Female</t>
        </is>
      </c>
      <c r="E786" s="2" t="n">
        <v>48</v>
      </c>
      <c r="F786" s="2" t="inlineStr">
        <is>
          <t>Checking</t>
        </is>
      </c>
      <c r="G786" s="2" t="inlineStr">
        <is>
          <t>Travel</t>
        </is>
      </c>
      <c r="H786" s="2" t="inlineStr">
        <is>
          <t>$4218.19</t>
        </is>
      </c>
      <c r="I786" s="2" t="n">
        <v>6574.12</v>
      </c>
      <c r="J786" s="2" t="inlineStr">
        <is>
          <t>Branch Office</t>
        </is>
      </c>
      <c r="K786" s="2" t="inlineStr">
        <is>
          <t>N</t>
        </is>
      </c>
    </row>
    <row r="787">
      <c r="A787" s="2" t="inlineStr">
        <is>
          <t>TXN100787</t>
        </is>
      </c>
      <c r="B787" s="2" t="inlineStr">
        <is>
          <t xml:space="preserve">  CUST0787 </t>
        </is>
      </c>
      <c r="C787" s="2" t="inlineStr">
        <is>
          <t>2026-06-01 14:39:00</t>
        </is>
      </c>
      <c r="D787" s="2" t="inlineStr">
        <is>
          <t>Female</t>
        </is>
      </c>
      <c r="E787" s="2" t="n">
        <v>71</v>
      </c>
      <c r="F787" s="2" t="inlineStr">
        <is>
          <t>Investment</t>
        </is>
      </c>
      <c r="G787" s="2" t="inlineStr">
        <is>
          <t>groceries</t>
        </is>
      </c>
      <c r="H787" s="2" t="inlineStr">
        <is>
          <t>$1514.95</t>
        </is>
      </c>
      <c r="I787" s="2" t="n">
        <v>44256.96</v>
      </c>
      <c r="J787" s="2" t="inlineStr">
        <is>
          <t xml:space="preserve">Mobile App </t>
        </is>
      </c>
      <c r="K787" s="2" t="inlineStr">
        <is>
          <t>N</t>
        </is>
      </c>
    </row>
    <row r="788">
      <c r="A788" s="2" t="inlineStr">
        <is>
          <t>TXN100788</t>
        </is>
      </c>
      <c r="B788" s="2" t="inlineStr">
        <is>
          <t xml:space="preserve">  CUST0788 </t>
        </is>
      </c>
      <c r="C788" s="2" t="inlineStr">
        <is>
          <t>2026-06-01 02:25:00</t>
        </is>
      </c>
      <c r="D788" s="2" t="inlineStr">
        <is>
          <t>Male</t>
        </is>
      </c>
      <c r="E788" s="2" t="n">
        <v>38</v>
      </c>
      <c r="F788" s="2" t="inlineStr">
        <is>
          <t>Savings</t>
        </is>
      </c>
      <c r="G788" s="2" t="inlineStr">
        <is>
          <t>groceries</t>
        </is>
      </c>
      <c r="H788" s="2" t="inlineStr">
        <is>
          <t>$1326.48</t>
        </is>
      </c>
      <c r="I788" s="2" t="n">
        <v>6045.22</v>
      </c>
      <c r="J788" s="2" t="inlineStr">
        <is>
          <t>Online Banking</t>
        </is>
      </c>
      <c r="K788" s="2" t="inlineStr">
        <is>
          <t>N</t>
        </is>
      </c>
    </row>
    <row r="789">
      <c r="A789" s="2" t="inlineStr">
        <is>
          <t>TXN100789</t>
        </is>
      </c>
      <c r="B789" s="2" t="inlineStr">
        <is>
          <t xml:space="preserve">  CUST0789 </t>
        </is>
      </c>
      <c r="C789" s="2" t="inlineStr">
        <is>
          <t>2026-06-01 15:09:00</t>
        </is>
      </c>
      <c r="D789" s="2" t="inlineStr">
        <is>
          <t>F</t>
        </is>
      </c>
      <c r="E789" s="2" t="n">
        <v>53</v>
      </c>
      <c r="F789" s="2" t="inlineStr">
        <is>
          <t>Investment</t>
        </is>
      </c>
      <c r="G789" s="2" t="inlineStr">
        <is>
          <t>groceries</t>
        </is>
      </c>
      <c r="H789" s="2" t="inlineStr">
        <is>
          <t>$2352.42</t>
        </is>
      </c>
      <c r="I789" s="2" t="n">
        <v>48493.94</v>
      </c>
      <c r="J789" s="2" t="inlineStr">
        <is>
          <t>Online Banking</t>
        </is>
      </c>
      <c r="K789" s="2" t="inlineStr">
        <is>
          <t>N</t>
        </is>
      </c>
    </row>
    <row r="790">
      <c r="A790" s="2" t="inlineStr">
        <is>
          <t>TXN100790</t>
        </is>
      </c>
      <c r="B790" s="2" t="inlineStr">
        <is>
          <t xml:space="preserve">  CUST0790 </t>
        </is>
      </c>
      <c r="C790" s="2" t="inlineStr">
        <is>
          <t>2026-06-01 15:22:00</t>
        </is>
      </c>
      <c r="D790" s="3" t="inlineStr"/>
      <c r="E790" s="2" t="n">
        <v>48</v>
      </c>
      <c r="F790" s="2" t="inlineStr">
        <is>
          <t>Investment</t>
        </is>
      </c>
      <c r="G790" s="2" t="inlineStr">
        <is>
          <t>groceries</t>
        </is>
      </c>
      <c r="H790" s="2" t="inlineStr">
        <is>
          <t>$2339.22</t>
        </is>
      </c>
      <c r="I790" s="2" t="n">
        <v>3616</v>
      </c>
      <c r="J790" s="2" t="inlineStr">
        <is>
          <t>Online Banking</t>
        </is>
      </c>
      <c r="K790" s="2" t="inlineStr">
        <is>
          <t>N</t>
        </is>
      </c>
    </row>
    <row r="791">
      <c r="A791" s="2" t="inlineStr">
        <is>
          <t>TXN100791</t>
        </is>
      </c>
      <c r="B791" s="2" t="inlineStr">
        <is>
          <t xml:space="preserve">  CUST0791 </t>
        </is>
      </c>
      <c r="C791" s="2" t="inlineStr">
        <is>
          <t>2026-06-01 16:41:00</t>
        </is>
      </c>
      <c r="D791" s="2" t="inlineStr">
        <is>
          <t>Female</t>
        </is>
      </c>
      <c r="E791" s="2" t="n">
        <v>46</v>
      </c>
      <c r="F791" s="2" t="inlineStr">
        <is>
          <t>Investment</t>
        </is>
      </c>
      <c r="G791" s="2" t="inlineStr">
        <is>
          <t>Entertainment</t>
        </is>
      </c>
      <c r="H791" s="2" t="inlineStr">
        <is>
          <t>$5249.53</t>
        </is>
      </c>
      <c r="I791" s="2" t="n">
        <v>39447.81</v>
      </c>
      <c r="J791" s="2" t="inlineStr">
        <is>
          <t>ATM</t>
        </is>
      </c>
      <c r="K791" s="2" t="inlineStr">
        <is>
          <t>N</t>
        </is>
      </c>
    </row>
    <row r="792">
      <c r="A792" s="2" t="inlineStr">
        <is>
          <t>TXN100792</t>
        </is>
      </c>
      <c r="B792" s="2" t="inlineStr">
        <is>
          <t xml:space="preserve">  CUST0792 </t>
        </is>
      </c>
      <c r="C792" s="2" t="inlineStr">
        <is>
          <t>2026-06-01 18:42:00</t>
        </is>
      </c>
      <c r="D792" s="2" t="n"/>
      <c r="E792" s="2" t="n">
        <v>49</v>
      </c>
      <c r="F792" s="2" t="inlineStr">
        <is>
          <t>Checking</t>
        </is>
      </c>
      <c r="G792" s="2" t="inlineStr">
        <is>
          <t>Travel</t>
        </is>
      </c>
      <c r="H792" s="2" t="inlineStr">
        <is>
          <t>$1064.31</t>
        </is>
      </c>
      <c r="I792" s="2" t="n">
        <v>39572.74</v>
      </c>
      <c r="J792" s="2" t="inlineStr">
        <is>
          <t>Online Banking</t>
        </is>
      </c>
      <c r="K792" s="2" t="inlineStr">
        <is>
          <t>N</t>
        </is>
      </c>
    </row>
    <row r="793">
      <c r="A793" s="2" t="inlineStr">
        <is>
          <t>TXN100793</t>
        </is>
      </c>
      <c r="B793" s="2" t="inlineStr">
        <is>
          <t xml:space="preserve">  CUST0793 </t>
        </is>
      </c>
      <c r="C793" s="2" t="inlineStr">
        <is>
          <t>2026-06-01 08:14:00</t>
        </is>
      </c>
      <c r="D793" s="2" t="n"/>
      <c r="E793" s="2" t="n">
        <v>43</v>
      </c>
      <c r="F793" s="2" t="inlineStr">
        <is>
          <t>Checking</t>
        </is>
      </c>
      <c r="G793" s="2" t="inlineStr">
        <is>
          <t>groceries</t>
        </is>
      </c>
      <c r="H793" s="2" t="inlineStr">
        <is>
          <t>$1195.22</t>
        </is>
      </c>
      <c r="I793" s="2" t="n">
        <v>14576.91</v>
      </c>
      <c r="J793" s="2" t="inlineStr">
        <is>
          <t>Online Banking</t>
        </is>
      </c>
      <c r="K793" s="2" t="inlineStr">
        <is>
          <t>N</t>
        </is>
      </c>
    </row>
    <row r="794">
      <c r="A794" s="2" t="inlineStr">
        <is>
          <t>TXN100794</t>
        </is>
      </c>
      <c r="B794" s="2" t="inlineStr">
        <is>
          <t xml:space="preserve">  CUST0794 </t>
        </is>
      </c>
      <c r="C794" s="2" t="inlineStr">
        <is>
          <t>2026-06-01 19:59:00</t>
        </is>
      </c>
      <c r="D794" s="2" t="inlineStr">
        <is>
          <t>Male</t>
        </is>
      </c>
      <c r="E794" s="2" t="n">
        <v>65</v>
      </c>
      <c r="F794" s="2" t="inlineStr">
        <is>
          <t>Investment</t>
        </is>
      </c>
      <c r="G794" s="2" t="inlineStr">
        <is>
          <t>Entertainment</t>
        </is>
      </c>
      <c r="H794" s="2" t="inlineStr">
        <is>
          <t>$1466.42</t>
        </is>
      </c>
      <c r="I794" s="2" t="n">
        <v>9180.290000000001</v>
      </c>
      <c r="J794" s="2" t="inlineStr">
        <is>
          <t>Online Banking</t>
        </is>
      </c>
      <c r="K794" s="2" t="inlineStr">
        <is>
          <t>N</t>
        </is>
      </c>
    </row>
    <row r="795">
      <c r="A795" s="2" t="inlineStr">
        <is>
          <t>TXN100795</t>
        </is>
      </c>
      <c r="B795" s="2" t="inlineStr">
        <is>
          <t xml:space="preserve">  CUST0795 </t>
        </is>
      </c>
      <c r="C795" s="2" t="inlineStr">
        <is>
          <t>2026-06-01 05:15:00</t>
        </is>
      </c>
      <c r="D795" s="2" t="inlineStr">
        <is>
          <t>MALE</t>
        </is>
      </c>
      <c r="E795" s="2" t="n">
        <v>22</v>
      </c>
      <c r="F795" s="2" t="inlineStr">
        <is>
          <t>Checking</t>
        </is>
      </c>
      <c r="G795" s="2" t="inlineStr">
        <is>
          <t>Travel</t>
        </is>
      </c>
      <c r="H795" s="2" t="inlineStr">
        <is>
          <t>$1020.52</t>
        </is>
      </c>
      <c r="I795" s="2" t="n">
        <v>13390.16</v>
      </c>
      <c r="J795" s="2" t="inlineStr">
        <is>
          <t>Online Banking</t>
        </is>
      </c>
      <c r="K795" s="2" t="inlineStr">
        <is>
          <t>N</t>
        </is>
      </c>
    </row>
    <row r="796">
      <c r="A796" s="2" t="inlineStr">
        <is>
          <t>TXN100796</t>
        </is>
      </c>
      <c r="B796" s="2" t="inlineStr">
        <is>
          <t xml:space="preserve">  CUST0796 </t>
        </is>
      </c>
      <c r="C796" s="2" t="inlineStr">
        <is>
          <t>2026-06-01 06:35:00</t>
        </is>
      </c>
      <c r="D796" s="2" t="inlineStr">
        <is>
          <t>M</t>
        </is>
      </c>
      <c r="E796" s="2" t="n">
        <v>62</v>
      </c>
      <c r="F796" s="2" t="inlineStr">
        <is>
          <t>Checking</t>
        </is>
      </c>
      <c r="G796" s="2" t="inlineStr">
        <is>
          <t>Entertainment</t>
        </is>
      </c>
      <c r="H796" s="2" t="inlineStr">
        <is>
          <t>$1192.07</t>
        </is>
      </c>
      <c r="I796" s="2" t="n">
        <v>22697.24</v>
      </c>
      <c r="J796" s="2" t="inlineStr">
        <is>
          <t>Online Banking</t>
        </is>
      </c>
      <c r="K796" s="2" t="inlineStr">
        <is>
          <t>N</t>
        </is>
      </c>
    </row>
    <row r="797">
      <c r="A797" s="2" t="inlineStr">
        <is>
          <t>TXN100797</t>
        </is>
      </c>
      <c r="B797" s="2" t="inlineStr">
        <is>
          <t xml:space="preserve">  CUST0797 </t>
        </is>
      </c>
      <c r="C797" s="2" t="inlineStr">
        <is>
          <t>2026-06-01 17:19:00</t>
        </is>
      </c>
      <c r="D797" s="2" t="inlineStr">
        <is>
          <t>MALE</t>
        </is>
      </c>
      <c r="E797" s="2" t="n">
        <v>21</v>
      </c>
      <c r="F797" s="2" t="inlineStr">
        <is>
          <t>Checking</t>
        </is>
      </c>
      <c r="G797" s="2" t="inlineStr">
        <is>
          <t>Utilities</t>
        </is>
      </c>
      <c r="H797" s="2" t="inlineStr">
        <is>
          <t>$6150.46</t>
        </is>
      </c>
      <c r="I797" s="2" t="n">
        <v>47415.56</v>
      </c>
      <c r="J797" s="2" t="inlineStr">
        <is>
          <t>Branch Office</t>
        </is>
      </c>
      <c r="K797" s="2" t="inlineStr">
        <is>
          <t>N</t>
        </is>
      </c>
    </row>
    <row r="798">
      <c r="A798" s="2" t="inlineStr">
        <is>
          <t>TXN100798</t>
        </is>
      </c>
      <c r="B798" s="2" t="inlineStr">
        <is>
          <t xml:space="preserve">  CUST0798 </t>
        </is>
      </c>
      <c r="C798" s="2" t="inlineStr">
        <is>
          <t>2026-06-01 04:00:00</t>
        </is>
      </c>
      <c r="D798" s="2" t="inlineStr">
        <is>
          <t>Female</t>
        </is>
      </c>
      <c r="E798" s="2" t="n">
        <v>61</v>
      </c>
      <c r="F798" s="2" t="inlineStr">
        <is>
          <t>Investment</t>
        </is>
      </c>
      <c r="G798" s="2" t="inlineStr">
        <is>
          <t>Entertainment</t>
        </is>
      </c>
      <c r="H798" s="2" t="inlineStr">
        <is>
          <t>$3796.55</t>
        </is>
      </c>
      <c r="I798" s="2" t="n">
        <v>14846.45</v>
      </c>
      <c r="J798" s="2" t="inlineStr">
        <is>
          <t>Online Banking</t>
        </is>
      </c>
      <c r="K798" s="2" t="inlineStr">
        <is>
          <t>N</t>
        </is>
      </c>
    </row>
    <row r="799">
      <c r="A799" s="2" t="inlineStr">
        <is>
          <t>TXN100799</t>
        </is>
      </c>
      <c r="B799" s="2" t="inlineStr">
        <is>
          <t xml:space="preserve">  CUST0799 </t>
        </is>
      </c>
      <c r="C799" s="2" t="inlineStr">
        <is>
          <t>2026-06-01 18:46:00</t>
        </is>
      </c>
      <c r="D799" s="2" t="n"/>
      <c r="E799" s="2" t="n">
        <v>41</v>
      </c>
      <c r="F799" s="2" t="inlineStr">
        <is>
          <t>Investment</t>
        </is>
      </c>
      <c r="G799" s="2" t="inlineStr">
        <is>
          <t>groceries</t>
        </is>
      </c>
      <c r="H799" s="2" t="inlineStr">
        <is>
          <t>$5855.81</t>
        </is>
      </c>
      <c r="I799" s="2" t="n">
        <v>45058.64</v>
      </c>
      <c r="J799" s="2" t="inlineStr">
        <is>
          <t>Online Banking</t>
        </is>
      </c>
      <c r="K799" s="2" t="inlineStr">
        <is>
          <t>N</t>
        </is>
      </c>
    </row>
    <row r="800">
      <c r="A800" s="2" t="inlineStr">
        <is>
          <t>TXN100800</t>
        </is>
      </c>
      <c r="B800" s="2" t="inlineStr">
        <is>
          <t xml:space="preserve">  CUST0800 </t>
        </is>
      </c>
      <c r="C800" s="2" t="inlineStr">
        <is>
          <t>2026-06-01 21:35:00</t>
        </is>
      </c>
      <c r="D800" s="2" t="inlineStr">
        <is>
          <t>MALE</t>
        </is>
      </c>
      <c r="E800" s="2" t="n">
        <v>39</v>
      </c>
      <c r="F800" s="2" t="inlineStr">
        <is>
          <t>Savings</t>
        </is>
      </c>
      <c r="G800" s="2" t="inlineStr">
        <is>
          <t>Utilities</t>
        </is>
      </c>
      <c r="H800" s="2" t="inlineStr">
        <is>
          <t>$4944.0</t>
        </is>
      </c>
      <c r="I800" s="2" t="n">
        <v>11408.06</v>
      </c>
      <c r="J800" s="2" t="inlineStr">
        <is>
          <t>Branch Office</t>
        </is>
      </c>
      <c r="K800" s="2" t="inlineStr">
        <is>
          <t>N</t>
        </is>
      </c>
    </row>
    <row r="801">
      <c r="A801" s="2" t="inlineStr">
        <is>
          <t>TXN100801</t>
        </is>
      </c>
      <c r="B801" s="2" t="inlineStr">
        <is>
          <t xml:space="preserve">  CUST0801 </t>
        </is>
      </c>
      <c r="C801" s="2" t="inlineStr">
        <is>
          <t>2026-06-01 02:20:00</t>
        </is>
      </c>
      <c r="D801" s="2" t="inlineStr">
        <is>
          <t>M</t>
        </is>
      </c>
      <c r="E801" s="2" t="n">
        <v>58</v>
      </c>
      <c r="F801" s="2" t="inlineStr">
        <is>
          <t>Investment</t>
        </is>
      </c>
      <c r="G801" s="2" t="inlineStr">
        <is>
          <t>GROCERIES</t>
        </is>
      </c>
      <c r="H801" s="2" t="inlineStr">
        <is>
          <t>$4671.62</t>
        </is>
      </c>
      <c r="I801" s="2" t="n">
        <v>11496.12</v>
      </c>
      <c r="J801" s="2" t="inlineStr">
        <is>
          <t>Branch Office</t>
        </is>
      </c>
      <c r="K801" s="2" t="inlineStr">
        <is>
          <t>N</t>
        </is>
      </c>
    </row>
    <row r="802">
      <c r="A802" s="2" t="inlineStr">
        <is>
          <t>TXN100802</t>
        </is>
      </c>
      <c r="B802" s="2" t="inlineStr">
        <is>
          <t xml:space="preserve">  CUST0802 </t>
        </is>
      </c>
      <c r="C802" s="2" t="inlineStr">
        <is>
          <t>2026-06-01 06:01:00</t>
        </is>
      </c>
      <c r="D802" s="2" t="inlineStr">
        <is>
          <t>MALE</t>
        </is>
      </c>
      <c r="E802" s="2" t="n">
        <v>54</v>
      </c>
      <c r="F802" s="2" t="inlineStr">
        <is>
          <t>Checking</t>
        </is>
      </c>
      <c r="G802" s="2" t="inlineStr">
        <is>
          <t>groceries</t>
        </is>
      </c>
      <c r="H802" s="2" t="inlineStr">
        <is>
          <t>$7806.96</t>
        </is>
      </c>
      <c r="I802" s="2" t="n">
        <v>20023.97</v>
      </c>
      <c r="J802" s="2" t="inlineStr">
        <is>
          <t>ATM</t>
        </is>
      </c>
      <c r="K802" s="2" t="inlineStr">
        <is>
          <t>N</t>
        </is>
      </c>
    </row>
    <row r="803">
      <c r="A803" s="2" t="inlineStr">
        <is>
          <t>TXN100803</t>
        </is>
      </c>
      <c r="B803" s="2" t="inlineStr">
        <is>
          <t xml:space="preserve">  CUST0803 </t>
        </is>
      </c>
      <c r="C803" s="2" t="inlineStr">
        <is>
          <t>2026-06-01 19:32:00</t>
        </is>
      </c>
      <c r="D803" s="2" t="inlineStr">
        <is>
          <t>M</t>
        </is>
      </c>
      <c r="E803" s="2" t="n">
        <v>62</v>
      </c>
      <c r="F803" s="2" t="inlineStr">
        <is>
          <t>Checking</t>
        </is>
      </c>
      <c r="G803" s="2" t="inlineStr">
        <is>
          <t>Utilities</t>
        </is>
      </c>
      <c r="H803" s="2" t="inlineStr">
        <is>
          <t>$1192.09</t>
        </is>
      </c>
      <c r="I803" s="2" t="n">
        <v>42763.3</v>
      </c>
      <c r="J803" s="2" t="inlineStr">
        <is>
          <t>Branch Office</t>
        </is>
      </c>
      <c r="K803" s="2" t="inlineStr">
        <is>
          <t>N</t>
        </is>
      </c>
    </row>
    <row r="804">
      <c r="A804" s="2" t="inlineStr">
        <is>
          <t>TXN100804</t>
        </is>
      </c>
      <c r="B804" s="2" t="inlineStr">
        <is>
          <t xml:space="preserve">  CUST0804 </t>
        </is>
      </c>
      <c r="C804" s="2" t="inlineStr">
        <is>
          <t>2026-06-01 12:23:00</t>
        </is>
      </c>
      <c r="D804" s="2" t="inlineStr">
        <is>
          <t>M</t>
        </is>
      </c>
      <c r="E804" s="2" t="n">
        <v>38</v>
      </c>
      <c r="F804" s="2" t="inlineStr">
        <is>
          <t>Checking</t>
        </is>
      </c>
      <c r="G804" s="2" t="inlineStr">
        <is>
          <t>Entertainment</t>
        </is>
      </c>
      <c r="H804" s="2" t="inlineStr">
        <is>
          <t>$2471.6</t>
        </is>
      </c>
      <c r="I804" s="2" t="n">
        <v>22556.01</v>
      </c>
      <c r="J804" s="2" t="inlineStr">
        <is>
          <t xml:space="preserve">Mobile App </t>
        </is>
      </c>
      <c r="K804" s="2" t="inlineStr">
        <is>
          <t>N</t>
        </is>
      </c>
    </row>
    <row r="805">
      <c r="A805" s="2" t="inlineStr">
        <is>
          <t>TXN100805</t>
        </is>
      </c>
      <c r="B805" s="2" t="inlineStr">
        <is>
          <t xml:space="preserve">  CUST0805 </t>
        </is>
      </c>
      <c r="C805" s="2" t="inlineStr">
        <is>
          <t>2026-06-01 06:46:00</t>
        </is>
      </c>
      <c r="D805" s="2" t="n"/>
      <c r="E805" s="2" t="n">
        <v>67</v>
      </c>
      <c r="F805" s="2" t="inlineStr">
        <is>
          <t>Checking</t>
        </is>
      </c>
      <c r="G805" s="2" t="inlineStr">
        <is>
          <t>Utilities</t>
        </is>
      </c>
      <c r="H805" s="2" t="inlineStr">
        <is>
          <t>$2316.19</t>
        </is>
      </c>
      <c r="I805" s="2" t="n">
        <v>40380.8</v>
      </c>
      <c r="J805" s="2" t="inlineStr">
        <is>
          <t>ATM</t>
        </is>
      </c>
      <c r="K805" s="2" t="inlineStr">
        <is>
          <t>N</t>
        </is>
      </c>
    </row>
    <row r="806">
      <c r="A806" s="2" t="inlineStr">
        <is>
          <t>TXN100806</t>
        </is>
      </c>
      <c r="B806" s="2" t="inlineStr">
        <is>
          <t xml:space="preserve">  CUST0806 </t>
        </is>
      </c>
      <c r="C806" s="2" t="inlineStr">
        <is>
          <t>2026-06-01 23:57:00</t>
        </is>
      </c>
      <c r="D806" s="3" t="inlineStr"/>
      <c r="E806" s="2" t="n">
        <v>28</v>
      </c>
      <c r="F806" s="2" t="inlineStr">
        <is>
          <t>Investment</t>
        </is>
      </c>
      <c r="G806" s="2" t="inlineStr">
        <is>
          <t>Travel</t>
        </is>
      </c>
      <c r="H806" s="2" t="inlineStr">
        <is>
          <t>$697.76</t>
        </is>
      </c>
      <c r="I806" s="2" t="n">
        <v>10785.3</v>
      </c>
      <c r="J806" s="2" t="inlineStr">
        <is>
          <t>ATM</t>
        </is>
      </c>
      <c r="K806" s="2" t="inlineStr">
        <is>
          <t>N</t>
        </is>
      </c>
    </row>
    <row r="807">
      <c r="A807" s="2" t="inlineStr">
        <is>
          <t>TXN100807</t>
        </is>
      </c>
      <c r="B807" s="2" t="inlineStr">
        <is>
          <t xml:space="preserve">  CUST0807 </t>
        </is>
      </c>
      <c r="C807" s="2" t="inlineStr">
        <is>
          <t>2026-06-01 16:21:00</t>
        </is>
      </c>
      <c r="D807" s="2" t="inlineStr">
        <is>
          <t>MALE</t>
        </is>
      </c>
      <c r="E807" s="2" t="n">
        <v>57</v>
      </c>
      <c r="F807" s="2" t="inlineStr">
        <is>
          <t>Checking</t>
        </is>
      </c>
      <c r="G807" s="2" t="inlineStr">
        <is>
          <t>groceries</t>
        </is>
      </c>
      <c r="H807" s="2" t="inlineStr">
        <is>
          <t>$62.88</t>
        </is>
      </c>
      <c r="I807" s="2" t="n">
        <v>32120.9</v>
      </c>
      <c r="J807" s="2" t="inlineStr">
        <is>
          <t>Branch Office</t>
        </is>
      </c>
      <c r="K807" s="2" t="inlineStr">
        <is>
          <t>N</t>
        </is>
      </c>
    </row>
    <row r="808">
      <c r="A808" s="2" t="inlineStr">
        <is>
          <t>TXN100808</t>
        </is>
      </c>
      <c r="B808" s="2" t="inlineStr">
        <is>
          <t xml:space="preserve">  CUST0808 </t>
        </is>
      </c>
      <c r="C808" s="2" t="inlineStr">
        <is>
          <t>2026-06-01 13:11:00</t>
        </is>
      </c>
      <c r="D808" s="2" t="n"/>
      <c r="E808" s="2" t="n">
        <v>65</v>
      </c>
      <c r="F808" s="2" t="inlineStr">
        <is>
          <t>Investment</t>
        </is>
      </c>
      <c r="G808" s="2" t="inlineStr">
        <is>
          <t>GROCERIES</t>
        </is>
      </c>
      <c r="H808" s="2" t="inlineStr">
        <is>
          <t>$1602.07</t>
        </is>
      </c>
      <c r="I808" s="2" t="n">
        <v>41698.04</v>
      </c>
      <c r="J808" s="2" t="inlineStr">
        <is>
          <t>Branch Office</t>
        </is>
      </c>
      <c r="K808" s="2" t="inlineStr">
        <is>
          <t>N</t>
        </is>
      </c>
    </row>
    <row r="809">
      <c r="A809" s="2" t="inlineStr">
        <is>
          <t>TXN100809</t>
        </is>
      </c>
      <c r="B809" s="2" t="inlineStr">
        <is>
          <t xml:space="preserve">  CUST0809 </t>
        </is>
      </c>
      <c r="C809" s="2" t="inlineStr">
        <is>
          <t>2026-06-01 17:31:00</t>
        </is>
      </c>
      <c r="D809" s="2" t="inlineStr">
        <is>
          <t>M</t>
        </is>
      </c>
      <c r="E809" s="2" t="n">
        <v>72</v>
      </c>
      <c r="F809" s="2" t="inlineStr">
        <is>
          <t>Checking</t>
        </is>
      </c>
      <c r="G809" s="2" t="inlineStr">
        <is>
          <t>Travel</t>
        </is>
      </c>
      <c r="H809" s="2" t="inlineStr">
        <is>
          <t>$2438.28</t>
        </is>
      </c>
      <c r="I809" s="2" t="n">
        <v>28184.41</v>
      </c>
      <c r="J809" s="2" t="inlineStr">
        <is>
          <t>ATM</t>
        </is>
      </c>
      <c r="K809" s="2" t="inlineStr">
        <is>
          <t>N</t>
        </is>
      </c>
    </row>
    <row r="810">
      <c r="A810" s="2" t="inlineStr">
        <is>
          <t>TXN100810</t>
        </is>
      </c>
      <c r="B810" s="2" t="inlineStr">
        <is>
          <t xml:space="preserve">  CUST0810 </t>
        </is>
      </c>
      <c r="C810" s="2" t="inlineStr">
        <is>
          <t>2026-06-01 07:01:00</t>
        </is>
      </c>
      <c r="D810" s="2" t="inlineStr">
        <is>
          <t>M</t>
        </is>
      </c>
      <c r="E810" s="2" t="n">
        <v>29</v>
      </c>
      <c r="F810" s="2" t="inlineStr">
        <is>
          <t>Checking</t>
        </is>
      </c>
      <c r="G810" s="2" t="inlineStr">
        <is>
          <t>Entertainment</t>
        </is>
      </c>
      <c r="H810" s="2" t="inlineStr">
        <is>
          <t>$7648.65</t>
        </is>
      </c>
      <c r="I810" s="2" t="n">
        <v>41795.03</v>
      </c>
      <c r="J810" s="2" t="inlineStr">
        <is>
          <t>ATM</t>
        </is>
      </c>
      <c r="K810" s="2" t="inlineStr">
        <is>
          <t>N</t>
        </is>
      </c>
    </row>
    <row r="811">
      <c r="A811" s="2" t="inlineStr">
        <is>
          <t>TXN100811</t>
        </is>
      </c>
      <c r="B811" s="2" t="inlineStr">
        <is>
          <t xml:space="preserve">  CUST0811 </t>
        </is>
      </c>
      <c r="C811" s="2" t="inlineStr">
        <is>
          <t>2026-06-01 21:57:00</t>
        </is>
      </c>
      <c r="D811" s="2" t="inlineStr">
        <is>
          <t>female</t>
        </is>
      </c>
      <c r="E811" s="2" t="n">
        <v>46</v>
      </c>
      <c r="F811" s="2" t="inlineStr">
        <is>
          <t>Savings</t>
        </is>
      </c>
      <c r="G811" s="2" t="inlineStr">
        <is>
          <t>Utilities</t>
        </is>
      </c>
      <c r="H811" s="2" t="inlineStr">
        <is>
          <t>$7255.28</t>
        </is>
      </c>
      <c r="I811" s="2" t="n">
        <v>32416.9</v>
      </c>
      <c r="J811" s="2" t="inlineStr">
        <is>
          <t xml:space="preserve">Mobile App </t>
        </is>
      </c>
      <c r="K811" s="2" t="inlineStr">
        <is>
          <t>N</t>
        </is>
      </c>
    </row>
    <row r="812">
      <c r="A812" s="2" t="inlineStr">
        <is>
          <t>TXN100812</t>
        </is>
      </c>
      <c r="B812" s="2" t="inlineStr">
        <is>
          <t xml:space="preserve">  CUST0812 </t>
        </is>
      </c>
      <c r="C812" s="2" t="inlineStr">
        <is>
          <t>2026-06-01 08:31:00</t>
        </is>
      </c>
      <c r="D812" s="2" t="inlineStr">
        <is>
          <t>MALE</t>
        </is>
      </c>
      <c r="E812" s="2" t="n">
        <v>58</v>
      </c>
      <c r="F812" s="2" t="inlineStr">
        <is>
          <t>Investment</t>
        </is>
      </c>
      <c r="G812" s="2" t="inlineStr">
        <is>
          <t>Entertainment</t>
        </is>
      </c>
      <c r="H812" s="2" t="inlineStr">
        <is>
          <t>$4652.72</t>
        </is>
      </c>
      <c r="I812" s="2" t="n">
        <v>28495.94</v>
      </c>
      <c r="J812" s="2" t="inlineStr">
        <is>
          <t>Branch Office</t>
        </is>
      </c>
      <c r="K812" s="2" t="inlineStr">
        <is>
          <t>N</t>
        </is>
      </c>
    </row>
    <row r="813">
      <c r="A813" s="2" t="inlineStr">
        <is>
          <t>TXN100813</t>
        </is>
      </c>
      <c r="B813" s="2" t="inlineStr">
        <is>
          <t xml:space="preserve">  CUST0813 </t>
        </is>
      </c>
      <c r="C813" s="2" t="inlineStr">
        <is>
          <t>2026-06-01 20:43:00</t>
        </is>
      </c>
      <c r="D813" s="2" t="n"/>
      <c r="E813" s="2" t="n">
        <v>64</v>
      </c>
      <c r="F813" s="2" t="inlineStr">
        <is>
          <t>Savings</t>
        </is>
      </c>
      <c r="G813" s="2" t="inlineStr">
        <is>
          <t>Entertainment</t>
        </is>
      </c>
      <c r="H813" s="2" t="inlineStr">
        <is>
          <t>$4105.08</t>
        </is>
      </c>
      <c r="I813" s="2" t="n">
        <v>28975.55</v>
      </c>
      <c r="J813" s="2" t="inlineStr">
        <is>
          <t>Branch Office</t>
        </is>
      </c>
      <c r="K813" s="2" t="inlineStr">
        <is>
          <t>N</t>
        </is>
      </c>
    </row>
    <row r="814">
      <c r="A814" s="2" t="inlineStr">
        <is>
          <t>TXN100814</t>
        </is>
      </c>
      <c r="B814" s="2" t="inlineStr">
        <is>
          <t xml:space="preserve">  CUST0814 </t>
        </is>
      </c>
      <c r="C814" s="2" t="inlineStr">
        <is>
          <t>2026-06-01 05:37:00</t>
        </is>
      </c>
      <c r="D814" s="2" t="inlineStr">
        <is>
          <t>M</t>
        </is>
      </c>
      <c r="E814" s="2" t="n">
        <v>29</v>
      </c>
      <c r="F814" s="2" t="inlineStr">
        <is>
          <t>Checking</t>
        </is>
      </c>
      <c r="G814" s="2" t="inlineStr">
        <is>
          <t>Utilities</t>
        </is>
      </c>
      <c r="H814" s="2" t="inlineStr">
        <is>
          <t>$7027.75</t>
        </is>
      </c>
      <c r="I814" s="2" t="n">
        <v>7207.12</v>
      </c>
      <c r="J814" s="2" t="inlineStr">
        <is>
          <t>Online Banking</t>
        </is>
      </c>
      <c r="K814" s="2" t="inlineStr">
        <is>
          <t>N</t>
        </is>
      </c>
    </row>
    <row r="815">
      <c r="A815" s="2" t="inlineStr">
        <is>
          <t>TXN100815</t>
        </is>
      </c>
      <c r="B815" s="2" t="inlineStr">
        <is>
          <t xml:space="preserve">  CUST0815 </t>
        </is>
      </c>
      <c r="C815" s="2" t="inlineStr">
        <is>
          <t>2026-06-01 11:26:00</t>
        </is>
      </c>
      <c r="D815" s="2" t="inlineStr">
        <is>
          <t>Female</t>
        </is>
      </c>
      <c r="E815" s="2" t="n">
        <v>23</v>
      </c>
      <c r="F815" s="2" t="inlineStr">
        <is>
          <t>Checking</t>
        </is>
      </c>
      <c r="G815" s="2" t="inlineStr">
        <is>
          <t>Entertainment</t>
        </is>
      </c>
      <c r="H815" s="2" t="inlineStr">
        <is>
          <t>$4241.6</t>
        </is>
      </c>
      <c r="I815" s="2" t="n">
        <v>46847.69</v>
      </c>
      <c r="J815" s="2" t="inlineStr">
        <is>
          <t>Online Banking</t>
        </is>
      </c>
      <c r="K815" s="2" t="inlineStr">
        <is>
          <t>N</t>
        </is>
      </c>
    </row>
    <row r="816">
      <c r="A816" s="2" t="inlineStr">
        <is>
          <t>TXN100816</t>
        </is>
      </c>
      <c r="B816" s="2" t="inlineStr">
        <is>
          <t xml:space="preserve">  CUST0816 </t>
        </is>
      </c>
      <c r="C816" s="2" t="inlineStr">
        <is>
          <t>2026-06-01 20:11:00</t>
        </is>
      </c>
      <c r="D816" s="2" t="inlineStr">
        <is>
          <t>MALE</t>
        </is>
      </c>
      <c r="E816" s="2" t="n">
        <v>58</v>
      </c>
      <c r="F816" s="2" t="inlineStr">
        <is>
          <t>Savings</t>
        </is>
      </c>
      <c r="G816" s="2" t="inlineStr">
        <is>
          <t>Travel</t>
        </is>
      </c>
      <c r="H816" s="2" t="inlineStr">
        <is>
          <t>$2587.63</t>
        </is>
      </c>
      <c r="I816" s="2" t="n">
        <v>16152.42</v>
      </c>
      <c r="J816" s="2" t="inlineStr">
        <is>
          <t>Branch Office</t>
        </is>
      </c>
      <c r="K816" s="2" t="inlineStr">
        <is>
          <t>N</t>
        </is>
      </c>
    </row>
    <row r="817">
      <c r="A817" s="2" t="inlineStr">
        <is>
          <t>TXN100817</t>
        </is>
      </c>
      <c r="B817" s="2" t="inlineStr">
        <is>
          <t xml:space="preserve">  CUST0817 </t>
        </is>
      </c>
      <c r="C817" s="2" t="inlineStr">
        <is>
          <t>2026-06-01 08:43:00</t>
        </is>
      </c>
      <c r="D817" s="2" t="inlineStr">
        <is>
          <t>Female</t>
        </is>
      </c>
      <c r="E817" s="2" t="n">
        <v>26</v>
      </c>
      <c r="F817" s="2" t="inlineStr">
        <is>
          <t>Investment</t>
        </is>
      </c>
      <c r="G817" s="2" t="inlineStr">
        <is>
          <t>Travel</t>
        </is>
      </c>
      <c r="H817" s="2" t="inlineStr">
        <is>
          <t>$2819.52</t>
        </is>
      </c>
      <c r="I817" s="2" t="n">
        <v>7614.02</v>
      </c>
      <c r="J817" s="2" t="inlineStr">
        <is>
          <t>Online Banking</t>
        </is>
      </c>
      <c r="K817" s="2" t="inlineStr">
        <is>
          <t>N</t>
        </is>
      </c>
    </row>
    <row r="818">
      <c r="A818" s="2" t="inlineStr">
        <is>
          <t>TXN100818</t>
        </is>
      </c>
      <c r="B818" s="2" t="inlineStr">
        <is>
          <t xml:space="preserve">  CUST0818 </t>
        </is>
      </c>
      <c r="C818" s="2" t="inlineStr">
        <is>
          <t>2026-06-01 16:18:00</t>
        </is>
      </c>
      <c r="D818" s="2" t="inlineStr">
        <is>
          <t>Female</t>
        </is>
      </c>
      <c r="E818" s="2" t="n">
        <v>69</v>
      </c>
      <c r="F818" s="2" t="inlineStr">
        <is>
          <t>Checking</t>
        </is>
      </c>
      <c r="G818" s="2" t="inlineStr">
        <is>
          <t>Utilities</t>
        </is>
      </c>
      <c r="H818" s="2" t="inlineStr">
        <is>
          <t>$2729.1</t>
        </is>
      </c>
      <c r="I818" s="2" t="n">
        <v>45584</v>
      </c>
      <c r="J818" s="2" t="inlineStr">
        <is>
          <t xml:space="preserve">Mobile App </t>
        </is>
      </c>
      <c r="K818" s="2" t="inlineStr">
        <is>
          <t>N</t>
        </is>
      </c>
    </row>
    <row r="819">
      <c r="A819" s="2" t="inlineStr">
        <is>
          <t>TXN100819</t>
        </is>
      </c>
      <c r="B819" s="2" t="inlineStr">
        <is>
          <t xml:space="preserve">  CUST0819 </t>
        </is>
      </c>
      <c r="C819" s="2" t="inlineStr">
        <is>
          <t>2026-06-01 06:09:00</t>
        </is>
      </c>
      <c r="D819" s="2" t="inlineStr">
        <is>
          <t>F</t>
        </is>
      </c>
      <c r="E819" s="2" t="n">
        <v>73</v>
      </c>
      <c r="F819" s="2" t="inlineStr">
        <is>
          <t>Savings</t>
        </is>
      </c>
      <c r="G819" s="2" t="inlineStr">
        <is>
          <t>Travel</t>
        </is>
      </c>
      <c r="H819" s="2" t="inlineStr">
        <is>
          <t>$4911.29</t>
        </is>
      </c>
      <c r="I819" s="2" t="n">
        <v>41655.1</v>
      </c>
      <c r="J819" s="2" t="inlineStr">
        <is>
          <t xml:space="preserve">Mobile App </t>
        </is>
      </c>
      <c r="K819" s="2" t="inlineStr">
        <is>
          <t>N</t>
        </is>
      </c>
    </row>
    <row r="820">
      <c r="A820" s="2" t="inlineStr">
        <is>
          <t>TXN100820</t>
        </is>
      </c>
      <c r="B820" s="2" t="inlineStr">
        <is>
          <t xml:space="preserve">  CUST0820 </t>
        </is>
      </c>
      <c r="C820" s="2" t="inlineStr">
        <is>
          <t>2026-06-01 13:29:00</t>
        </is>
      </c>
      <c r="D820" s="2" t="inlineStr">
        <is>
          <t>MALE</t>
        </is>
      </c>
      <c r="E820" s="2" t="n">
        <v>27</v>
      </c>
      <c r="F820" s="2" t="inlineStr">
        <is>
          <t>Savings</t>
        </is>
      </c>
      <c r="G820" s="2" t="inlineStr">
        <is>
          <t>groceries</t>
        </is>
      </c>
      <c r="H820" s="2" t="inlineStr">
        <is>
          <t>$3841.35</t>
        </is>
      </c>
      <c r="I820" s="2" t="n">
        <v>15922.89</v>
      </c>
      <c r="J820" s="2" t="inlineStr">
        <is>
          <t>Branch Office</t>
        </is>
      </c>
      <c r="K820" s="2" t="inlineStr">
        <is>
          <t>N</t>
        </is>
      </c>
    </row>
    <row r="821">
      <c r="A821" s="2" t="inlineStr">
        <is>
          <t>TXN100821</t>
        </is>
      </c>
      <c r="B821" s="2" t="inlineStr">
        <is>
          <t xml:space="preserve">  CUST0821 </t>
        </is>
      </c>
      <c r="C821" s="2" t="inlineStr">
        <is>
          <t>2026-06-01 04:52:00</t>
        </is>
      </c>
      <c r="D821" s="2" t="n"/>
      <c r="E821" s="2" t="n">
        <v>58</v>
      </c>
      <c r="F821" s="2" t="inlineStr">
        <is>
          <t>Investment</t>
        </is>
      </c>
      <c r="G821" s="2" t="inlineStr">
        <is>
          <t>Entertainment</t>
        </is>
      </c>
      <c r="H821" s="2" t="inlineStr">
        <is>
          <t>$1385.94</t>
        </is>
      </c>
      <c r="I821" s="2" t="n">
        <v>15581.87</v>
      </c>
      <c r="J821" s="2" t="inlineStr">
        <is>
          <t xml:space="preserve">Mobile App </t>
        </is>
      </c>
      <c r="K821" s="2" t="inlineStr">
        <is>
          <t>N</t>
        </is>
      </c>
    </row>
    <row r="822">
      <c r="A822" s="2" t="inlineStr">
        <is>
          <t>TXN100822</t>
        </is>
      </c>
      <c r="B822" s="2" t="inlineStr">
        <is>
          <t xml:space="preserve">  CUST0822 </t>
        </is>
      </c>
      <c r="C822" s="2" t="inlineStr">
        <is>
          <t>2026-06-01 07:08:00</t>
        </is>
      </c>
      <c r="D822" s="2" t="inlineStr">
        <is>
          <t>Male</t>
        </is>
      </c>
      <c r="E822" s="2" t="n">
        <v>64</v>
      </c>
      <c r="F822" s="2" t="inlineStr">
        <is>
          <t>Savings</t>
        </is>
      </c>
      <c r="G822" s="2" t="inlineStr">
        <is>
          <t>Entertainment</t>
        </is>
      </c>
      <c r="H822" s="2" t="inlineStr">
        <is>
          <t>$1011.5</t>
        </is>
      </c>
      <c r="I822" s="2" t="n">
        <v>6945.8</v>
      </c>
      <c r="J822" s="2" t="inlineStr">
        <is>
          <t xml:space="preserve">Mobile App </t>
        </is>
      </c>
      <c r="K822" s="2" t="inlineStr">
        <is>
          <t>N</t>
        </is>
      </c>
    </row>
    <row r="823">
      <c r="A823" s="2" t="inlineStr">
        <is>
          <t>TXN100823</t>
        </is>
      </c>
      <c r="B823" s="2" t="inlineStr">
        <is>
          <t xml:space="preserve">  CUST0823 </t>
        </is>
      </c>
      <c r="C823" s="2" t="inlineStr">
        <is>
          <t>2026-06-01 13:44:00</t>
        </is>
      </c>
      <c r="D823" s="2" t="inlineStr">
        <is>
          <t>MALE</t>
        </is>
      </c>
      <c r="E823" s="2" t="n">
        <v>24</v>
      </c>
      <c r="F823" s="2" t="inlineStr">
        <is>
          <t>Savings</t>
        </is>
      </c>
      <c r="G823" s="2" t="inlineStr">
        <is>
          <t>Utilities</t>
        </is>
      </c>
      <c r="H823" s="2" t="inlineStr">
        <is>
          <t>$6061.1</t>
        </is>
      </c>
      <c r="I823" s="2" t="n">
        <v>2604.59</v>
      </c>
      <c r="J823" s="2" t="inlineStr">
        <is>
          <t xml:space="preserve">Mobile App </t>
        </is>
      </c>
      <c r="K823" s="2" t="inlineStr">
        <is>
          <t>N</t>
        </is>
      </c>
    </row>
    <row r="824">
      <c r="A824" s="2" t="inlineStr">
        <is>
          <t>TXN100824</t>
        </is>
      </c>
      <c r="B824" s="2" t="inlineStr">
        <is>
          <t xml:space="preserve">  CUST0824 </t>
        </is>
      </c>
      <c r="C824" s="2" t="inlineStr">
        <is>
          <t>2026-06-01 01:50:00</t>
        </is>
      </c>
      <c r="D824" s="2" t="inlineStr">
        <is>
          <t>M</t>
        </is>
      </c>
      <c r="E824" s="2" t="n">
        <v>50</v>
      </c>
      <c r="F824" s="2" t="inlineStr">
        <is>
          <t>Savings</t>
        </is>
      </c>
      <c r="G824" s="2" t="inlineStr">
        <is>
          <t>Entertainment</t>
        </is>
      </c>
      <c r="H824" s="2" t="inlineStr">
        <is>
          <t>$355.82</t>
        </is>
      </c>
      <c r="I824" s="2" t="n">
        <v>15431.47</v>
      </c>
      <c r="J824" s="2" t="inlineStr">
        <is>
          <t xml:space="preserve">Mobile App </t>
        </is>
      </c>
      <c r="K824" s="2" t="inlineStr">
        <is>
          <t>N</t>
        </is>
      </c>
    </row>
    <row r="825">
      <c r="A825" s="2" t="inlineStr">
        <is>
          <t>TXN100825</t>
        </is>
      </c>
      <c r="B825" s="2" t="inlineStr">
        <is>
          <t xml:space="preserve">  CUST0825 </t>
        </is>
      </c>
      <c r="C825" s="2" t="inlineStr">
        <is>
          <t>2026-06-01 03:50:00</t>
        </is>
      </c>
      <c r="D825" s="2" t="inlineStr">
        <is>
          <t>MALE</t>
        </is>
      </c>
      <c r="E825" s="2" t="n">
        <v>58</v>
      </c>
      <c r="F825" s="2" t="inlineStr">
        <is>
          <t>Savings</t>
        </is>
      </c>
      <c r="G825" s="2" t="inlineStr">
        <is>
          <t>Travel</t>
        </is>
      </c>
      <c r="H825" s="2" t="inlineStr">
        <is>
          <t>$7210.39</t>
        </is>
      </c>
      <c r="I825" s="2" t="n">
        <v>9646.700000000001</v>
      </c>
      <c r="J825" s="2" t="inlineStr">
        <is>
          <t>Branch Office</t>
        </is>
      </c>
      <c r="K825" s="2" t="inlineStr">
        <is>
          <t>N</t>
        </is>
      </c>
    </row>
    <row r="826">
      <c r="A826" s="2" t="inlineStr">
        <is>
          <t>TXN100826</t>
        </is>
      </c>
      <c r="B826" s="2" t="inlineStr">
        <is>
          <t xml:space="preserve">  CUST0826 </t>
        </is>
      </c>
      <c r="C826" s="2" t="inlineStr">
        <is>
          <t>2026-06-01 04:54:00</t>
        </is>
      </c>
      <c r="D826" s="2" t="inlineStr">
        <is>
          <t>female</t>
        </is>
      </c>
      <c r="E826" s="2" t="n">
        <v>57</v>
      </c>
      <c r="F826" s="2" t="inlineStr">
        <is>
          <t>Checking</t>
        </is>
      </c>
      <c r="G826" s="2" t="inlineStr">
        <is>
          <t>Entertainment</t>
        </is>
      </c>
      <c r="H826" s="2" t="inlineStr">
        <is>
          <t>$1292.85</t>
        </is>
      </c>
      <c r="I826" s="2" t="n">
        <v>25281.4</v>
      </c>
      <c r="J826" s="2" t="inlineStr">
        <is>
          <t>Online Banking</t>
        </is>
      </c>
      <c r="K826" s="2" t="inlineStr">
        <is>
          <t>N</t>
        </is>
      </c>
    </row>
    <row r="827">
      <c r="A827" s="2" t="inlineStr">
        <is>
          <t>TXN100827</t>
        </is>
      </c>
      <c r="B827" s="2" t="inlineStr">
        <is>
          <t xml:space="preserve">  CUST0827 </t>
        </is>
      </c>
      <c r="C827" s="2" t="inlineStr">
        <is>
          <t>2026-06-01 16:36:00</t>
        </is>
      </c>
      <c r="D827" s="2" t="inlineStr">
        <is>
          <t>MALE</t>
        </is>
      </c>
      <c r="E827" s="2" t="n">
        <v>26</v>
      </c>
      <c r="F827" s="2" t="inlineStr">
        <is>
          <t>Investment</t>
        </is>
      </c>
      <c r="G827" s="2" t="inlineStr">
        <is>
          <t>groceries</t>
        </is>
      </c>
      <c r="H827" s="2" t="inlineStr">
        <is>
          <t>$4235.42</t>
        </is>
      </c>
      <c r="I827" s="2" t="n">
        <v>35932.68</v>
      </c>
      <c r="J827" s="2" t="inlineStr">
        <is>
          <t>Branch Office</t>
        </is>
      </c>
      <c r="K827" s="2" t="inlineStr">
        <is>
          <t>N</t>
        </is>
      </c>
    </row>
    <row r="828">
      <c r="A828" s="2" t="inlineStr">
        <is>
          <t>TXN100828</t>
        </is>
      </c>
      <c r="B828" s="2" t="inlineStr">
        <is>
          <t xml:space="preserve">  CUST0828 </t>
        </is>
      </c>
      <c r="C828" s="2" t="inlineStr">
        <is>
          <t>2026-06-01 05:57:00</t>
        </is>
      </c>
      <c r="D828" s="2" t="inlineStr">
        <is>
          <t>M</t>
        </is>
      </c>
      <c r="E828" s="2" t="n">
        <v>66</v>
      </c>
      <c r="F828" s="2" t="inlineStr">
        <is>
          <t>Savings</t>
        </is>
      </c>
      <c r="G828" s="2" t="inlineStr">
        <is>
          <t>GROCERIES</t>
        </is>
      </c>
      <c r="H828" s="2" t="inlineStr">
        <is>
          <t>$7364.61</t>
        </is>
      </c>
      <c r="I828" s="2" t="n">
        <v>42639.19</v>
      </c>
      <c r="J828" s="2" t="inlineStr">
        <is>
          <t>ATM</t>
        </is>
      </c>
      <c r="K828" s="2" t="inlineStr">
        <is>
          <t>N</t>
        </is>
      </c>
    </row>
    <row r="829">
      <c r="A829" s="2" t="inlineStr">
        <is>
          <t>TXN100829</t>
        </is>
      </c>
      <c r="B829" s="2" t="inlineStr">
        <is>
          <t xml:space="preserve">  CUST0829 </t>
        </is>
      </c>
      <c r="C829" s="2" t="inlineStr">
        <is>
          <t>2026-06-01 18:11:00</t>
        </is>
      </c>
      <c r="D829" s="2" t="n"/>
      <c r="E829" s="2" t="n">
        <v>63</v>
      </c>
      <c r="F829" s="2" t="inlineStr">
        <is>
          <t>Savings</t>
        </is>
      </c>
      <c r="G829" s="2" t="inlineStr">
        <is>
          <t>GROCERIES</t>
        </is>
      </c>
      <c r="H829" s="2" t="inlineStr">
        <is>
          <t>$6679.59</t>
        </is>
      </c>
      <c r="I829" s="2" t="n">
        <v>49074.41</v>
      </c>
      <c r="J829" s="2" t="inlineStr">
        <is>
          <t>ATM</t>
        </is>
      </c>
      <c r="K829" s="2" t="inlineStr">
        <is>
          <t>N</t>
        </is>
      </c>
    </row>
    <row r="830">
      <c r="A830" s="2" t="inlineStr">
        <is>
          <t>TXN100830</t>
        </is>
      </c>
      <c r="B830" s="2" t="inlineStr">
        <is>
          <t xml:space="preserve">  CUST0830 </t>
        </is>
      </c>
      <c r="C830" s="2" t="inlineStr">
        <is>
          <t>2026-06-01 06:32:00</t>
        </is>
      </c>
      <c r="D830" s="2" t="inlineStr">
        <is>
          <t>F</t>
        </is>
      </c>
      <c r="E830" s="2" t="n">
        <v>46</v>
      </c>
      <c r="F830" s="2" t="inlineStr">
        <is>
          <t>Savings</t>
        </is>
      </c>
      <c r="G830" s="2" t="inlineStr">
        <is>
          <t>Entertainment</t>
        </is>
      </c>
      <c r="H830" s="2" t="inlineStr">
        <is>
          <t>$997.69</t>
        </is>
      </c>
      <c r="I830" s="2" t="n">
        <v>5960.65</v>
      </c>
      <c r="J830" s="2" t="inlineStr">
        <is>
          <t>Online Banking</t>
        </is>
      </c>
      <c r="K830" s="2" t="inlineStr">
        <is>
          <t>N</t>
        </is>
      </c>
    </row>
    <row r="831">
      <c r="A831" s="2" t="inlineStr">
        <is>
          <t>TXN100831</t>
        </is>
      </c>
      <c r="B831" s="2" t="inlineStr">
        <is>
          <t xml:space="preserve">  CUST0831 </t>
        </is>
      </c>
      <c r="C831" s="2" t="inlineStr">
        <is>
          <t>2026-06-01 15:48:00</t>
        </is>
      </c>
      <c r="D831" s="2" t="inlineStr">
        <is>
          <t>Female</t>
        </is>
      </c>
      <c r="E831" s="2" t="n">
        <v>65</v>
      </c>
      <c r="F831" s="2" t="inlineStr">
        <is>
          <t>Checking</t>
        </is>
      </c>
      <c r="G831" s="2" t="inlineStr">
        <is>
          <t>Travel</t>
        </is>
      </c>
      <c r="H831" s="2" t="inlineStr">
        <is>
          <t>$5779.87</t>
        </is>
      </c>
      <c r="I831" s="2" t="n">
        <v>4571.27</v>
      </c>
      <c r="J831" s="2" t="inlineStr">
        <is>
          <t>ATM</t>
        </is>
      </c>
      <c r="K831" s="2" t="inlineStr">
        <is>
          <t>N</t>
        </is>
      </c>
    </row>
    <row r="832">
      <c r="A832" s="2" t="inlineStr">
        <is>
          <t>TXN100832</t>
        </is>
      </c>
      <c r="B832" s="2" t="inlineStr">
        <is>
          <t xml:space="preserve">  CUST0832 </t>
        </is>
      </c>
      <c r="C832" s="2" t="inlineStr">
        <is>
          <t>2026-06-01 03:24:00</t>
        </is>
      </c>
      <c r="D832" s="2" t="inlineStr">
        <is>
          <t>female</t>
        </is>
      </c>
      <c r="E832" s="2" t="n">
        <v>49</v>
      </c>
      <c r="F832" s="2" t="inlineStr">
        <is>
          <t>Investment</t>
        </is>
      </c>
      <c r="G832" s="2" t="inlineStr">
        <is>
          <t>Entertainment</t>
        </is>
      </c>
      <c r="H832" s="2" t="inlineStr">
        <is>
          <t>$5499.5</t>
        </is>
      </c>
      <c r="I832" s="2" t="n">
        <v>42133.96</v>
      </c>
      <c r="J832" s="2" t="inlineStr">
        <is>
          <t>Online Banking</t>
        </is>
      </c>
      <c r="K832" s="2" t="inlineStr">
        <is>
          <t>N</t>
        </is>
      </c>
    </row>
    <row r="833">
      <c r="A833" s="2" t="inlineStr">
        <is>
          <t>TXN100833</t>
        </is>
      </c>
      <c r="B833" s="2" t="inlineStr">
        <is>
          <t xml:space="preserve">  CUST0833 </t>
        </is>
      </c>
      <c r="C833" s="2" t="inlineStr">
        <is>
          <t>2026-06-01 17:26:00</t>
        </is>
      </c>
      <c r="D833" s="2" t="inlineStr">
        <is>
          <t>female</t>
        </is>
      </c>
      <c r="E833" s="2" t="n">
        <v>74</v>
      </c>
      <c r="F833" s="2" t="inlineStr">
        <is>
          <t>Checking</t>
        </is>
      </c>
      <c r="G833" s="2" t="inlineStr">
        <is>
          <t>GROCERIES</t>
        </is>
      </c>
      <c r="H833" s="2" t="inlineStr">
        <is>
          <t>$6855.62</t>
        </is>
      </c>
      <c r="I833" s="2" t="n">
        <v>44790.36</v>
      </c>
      <c r="J833" s="2" t="inlineStr">
        <is>
          <t>ATM</t>
        </is>
      </c>
      <c r="K833" s="2" t="inlineStr">
        <is>
          <t>N</t>
        </is>
      </c>
    </row>
    <row r="834">
      <c r="A834" s="2" t="inlineStr">
        <is>
          <t>TXN100834</t>
        </is>
      </c>
      <c r="B834" s="2" t="inlineStr">
        <is>
          <t xml:space="preserve">  CUST0834 </t>
        </is>
      </c>
      <c r="C834" s="2" t="inlineStr">
        <is>
          <t>2026-06-01 21:23:00</t>
        </is>
      </c>
      <c r="D834" s="2" t="inlineStr">
        <is>
          <t>Male</t>
        </is>
      </c>
      <c r="E834" s="2" t="n">
        <v>20</v>
      </c>
      <c r="F834" s="2" t="inlineStr">
        <is>
          <t>Investment</t>
        </is>
      </c>
      <c r="G834" s="2" t="inlineStr">
        <is>
          <t>Utilities</t>
        </is>
      </c>
      <c r="H834" s="2" t="inlineStr">
        <is>
          <t>$5380.04</t>
        </is>
      </c>
      <c r="I834" s="2" t="n">
        <v>20120.3</v>
      </c>
      <c r="J834" s="2" t="inlineStr">
        <is>
          <t xml:space="preserve">Mobile App </t>
        </is>
      </c>
      <c r="K834" s="2" t="inlineStr">
        <is>
          <t>N</t>
        </is>
      </c>
    </row>
    <row r="835">
      <c r="A835" s="2" t="inlineStr">
        <is>
          <t>TXN100835</t>
        </is>
      </c>
      <c r="B835" s="2" t="inlineStr">
        <is>
          <t xml:space="preserve">  CUST0835 </t>
        </is>
      </c>
      <c r="C835" s="2" t="inlineStr">
        <is>
          <t>2026-06-01 03:09:00</t>
        </is>
      </c>
      <c r="D835" s="3" t="inlineStr"/>
      <c r="E835" s="2" t="n">
        <v>45</v>
      </c>
      <c r="F835" s="2" t="inlineStr">
        <is>
          <t>Investment</t>
        </is>
      </c>
      <c r="G835" s="2" t="inlineStr">
        <is>
          <t>Travel</t>
        </is>
      </c>
      <c r="H835" s="2" t="inlineStr">
        <is>
          <t>$7820.79</t>
        </is>
      </c>
      <c r="I835" s="2" t="n">
        <v>37200.89</v>
      </c>
      <c r="J835" s="2" t="inlineStr">
        <is>
          <t>Online Banking</t>
        </is>
      </c>
      <c r="K835" s="2" t="inlineStr">
        <is>
          <t>N</t>
        </is>
      </c>
    </row>
    <row r="836">
      <c r="A836" s="2" t="inlineStr">
        <is>
          <t>TXN100836</t>
        </is>
      </c>
      <c r="B836" s="2" t="inlineStr">
        <is>
          <t xml:space="preserve">  CUST0836 </t>
        </is>
      </c>
      <c r="C836" s="2" t="inlineStr">
        <is>
          <t>2026-06-01 06:21:00</t>
        </is>
      </c>
      <c r="D836" s="2" t="inlineStr">
        <is>
          <t>F</t>
        </is>
      </c>
      <c r="E836" s="2" t="n">
        <v>58</v>
      </c>
      <c r="F836" s="2" t="inlineStr">
        <is>
          <t>Checking</t>
        </is>
      </c>
      <c r="G836" s="2" t="inlineStr">
        <is>
          <t>groceries</t>
        </is>
      </c>
      <c r="H836" s="2" t="inlineStr">
        <is>
          <t>$1870.63</t>
        </is>
      </c>
      <c r="I836" s="2" t="n">
        <v>21522.86</v>
      </c>
      <c r="J836" s="2" t="inlineStr">
        <is>
          <t>ATM</t>
        </is>
      </c>
      <c r="K836" s="2" t="inlineStr">
        <is>
          <t>N</t>
        </is>
      </c>
    </row>
    <row r="837">
      <c r="A837" s="2" t="inlineStr">
        <is>
          <t>TXN100837</t>
        </is>
      </c>
      <c r="B837" s="2" t="inlineStr">
        <is>
          <t xml:space="preserve">  CUST0837 </t>
        </is>
      </c>
      <c r="C837" s="2" t="inlineStr">
        <is>
          <t>2026-06-01 08:48:00</t>
        </is>
      </c>
      <c r="D837" s="2" t="inlineStr">
        <is>
          <t>female</t>
        </is>
      </c>
      <c r="E837" s="2" t="n">
        <v>68</v>
      </c>
      <c r="F837" s="2" t="inlineStr">
        <is>
          <t>Investment</t>
        </is>
      </c>
      <c r="G837" s="2" t="inlineStr">
        <is>
          <t>Utilities</t>
        </is>
      </c>
      <c r="H837" s="2" t="inlineStr">
        <is>
          <t>$2855.22</t>
        </is>
      </c>
      <c r="I837" s="2" t="n">
        <v>33500.51</v>
      </c>
      <c r="J837" s="2" t="inlineStr">
        <is>
          <t>ATM</t>
        </is>
      </c>
      <c r="K837" s="2" t="inlineStr">
        <is>
          <t>N</t>
        </is>
      </c>
    </row>
    <row r="838">
      <c r="A838" s="2" t="inlineStr">
        <is>
          <t>TXN100838</t>
        </is>
      </c>
      <c r="B838" s="2" t="inlineStr">
        <is>
          <t xml:space="preserve">  CUST0838 </t>
        </is>
      </c>
      <c r="C838" s="2" t="inlineStr">
        <is>
          <t>2026-06-01 15:32:00</t>
        </is>
      </c>
      <c r="D838" s="2" t="inlineStr">
        <is>
          <t>female</t>
        </is>
      </c>
      <c r="E838" s="2" t="n">
        <v>29</v>
      </c>
      <c r="F838" s="2" t="inlineStr">
        <is>
          <t>Checking</t>
        </is>
      </c>
      <c r="G838" s="2" t="inlineStr">
        <is>
          <t>groceries</t>
        </is>
      </c>
      <c r="H838" s="2" t="inlineStr">
        <is>
          <t>$986.3</t>
        </is>
      </c>
      <c r="I838" s="2" t="n">
        <v>24722.4</v>
      </c>
      <c r="J838" s="2" t="inlineStr">
        <is>
          <t>Online Banking</t>
        </is>
      </c>
      <c r="K838" s="2" t="inlineStr">
        <is>
          <t>N</t>
        </is>
      </c>
    </row>
    <row r="839">
      <c r="A839" s="2" t="inlineStr">
        <is>
          <t>TXN100839</t>
        </is>
      </c>
      <c r="B839" s="2" t="inlineStr">
        <is>
          <t xml:space="preserve">  CUST0839 </t>
        </is>
      </c>
      <c r="C839" s="2" t="inlineStr">
        <is>
          <t>2026-06-01 20:08:00</t>
        </is>
      </c>
      <c r="D839" s="2" t="inlineStr">
        <is>
          <t>M</t>
        </is>
      </c>
      <c r="E839" s="2" t="n">
        <v>26</v>
      </c>
      <c r="F839" s="2" t="inlineStr">
        <is>
          <t>Investment</t>
        </is>
      </c>
      <c r="G839" s="2" t="inlineStr">
        <is>
          <t>groceries</t>
        </is>
      </c>
      <c r="H839" s="2" t="inlineStr">
        <is>
          <t>$6644.2</t>
        </is>
      </c>
      <c r="I839" s="2" t="n">
        <v>25157.68</v>
      </c>
      <c r="J839" s="2" t="inlineStr">
        <is>
          <t xml:space="preserve">Mobile App </t>
        </is>
      </c>
      <c r="K839" s="2" t="inlineStr">
        <is>
          <t>N</t>
        </is>
      </c>
    </row>
    <row r="840">
      <c r="A840" s="2" t="inlineStr">
        <is>
          <t>TXN100840</t>
        </is>
      </c>
      <c r="B840" s="2" t="inlineStr">
        <is>
          <t xml:space="preserve">  CUST0840 </t>
        </is>
      </c>
      <c r="C840" s="2" t="inlineStr">
        <is>
          <t>2026-06-01 05:24:00</t>
        </is>
      </c>
      <c r="D840" s="2" t="inlineStr">
        <is>
          <t>Female</t>
        </is>
      </c>
      <c r="E840" s="2" t="n">
        <v>29</v>
      </c>
      <c r="F840" s="2" t="inlineStr">
        <is>
          <t>Checking</t>
        </is>
      </c>
      <c r="G840" s="2" t="inlineStr">
        <is>
          <t>Travel</t>
        </is>
      </c>
      <c r="H840" s="2" t="inlineStr">
        <is>
          <t>$4989.63</t>
        </is>
      </c>
      <c r="I840" s="2" t="n">
        <v>38128.49</v>
      </c>
      <c r="J840" s="2" t="inlineStr">
        <is>
          <t>ATM</t>
        </is>
      </c>
      <c r="K840" s="2" t="inlineStr">
        <is>
          <t>N</t>
        </is>
      </c>
    </row>
    <row r="841">
      <c r="A841" s="2" t="inlineStr">
        <is>
          <t>TXN100841</t>
        </is>
      </c>
      <c r="B841" s="2" t="inlineStr">
        <is>
          <t xml:space="preserve">  CUST0841 </t>
        </is>
      </c>
      <c r="C841" s="2" t="inlineStr">
        <is>
          <t>2026-06-01 14:12:00</t>
        </is>
      </c>
      <c r="D841" s="2" t="inlineStr">
        <is>
          <t>female</t>
        </is>
      </c>
      <c r="E841" s="2" t="n">
        <v>62</v>
      </c>
      <c r="F841" s="2" t="inlineStr">
        <is>
          <t>Checking</t>
        </is>
      </c>
      <c r="G841" s="2" t="inlineStr">
        <is>
          <t>Utilities</t>
        </is>
      </c>
      <c r="H841" s="2" t="inlineStr">
        <is>
          <t>$4043.31</t>
        </is>
      </c>
      <c r="I841" s="2" t="n">
        <v>27350.69</v>
      </c>
      <c r="J841" s="2" t="inlineStr">
        <is>
          <t xml:space="preserve">Mobile App </t>
        </is>
      </c>
      <c r="K841" s="2" t="inlineStr">
        <is>
          <t>N</t>
        </is>
      </c>
    </row>
    <row r="842">
      <c r="A842" s="2" t="inlineStr">
        <is>
          <t>TXN100842</t>
        </is>
      </c>
      <c r="B842" s="2" t="inlineStr">
        <is>
          <t xml:space="preserve">  CUST0842 </t>
        </is>
      </c>
      <c r="C842" s="2" t="inlineStr">
        <is>
          <t>2026-06-01 01:27:00</t>
        </is>
      </c>
      <c r="D842" s="2" t="inlineStr">
        <is>
          <t>MALE</t>
        </is>
      </c>
      <c r="E842" s="2" t="n">
        <v>44</v>
      </c>
      <c r="F842" s="2" t="inlineStr">
        <is>
          <t>Checking</t>
        </is>
      </c>
      <c r="G842" s="2" t="inlineStr">
        <is>
          <t>Entertainment</t>
        </is>
      </c>
      <c r="H842" s="2" t="inlineStr">
        <is>
          <t>$6824.47</t>
        </is>
      </c>
      <c r="I842" s="2" t="n">
        <v>22406.53</v>
      </c>
      <c r="J842" s="2" t="inlineStr">
        <is>
          <t xml:space="preserve">Mobile App </t>
        </is>
      </c>
      <c r="K842" s="2" t="inlineStr">
        <is>
          <t>N</t>
        </is>
      </c>
    </row>
    <row r="843">
      <c r="A843" s="2" t="inlineStr">
        <is>
          <t>TXN100843</t>
        </is>
      </c>
      <c r="B843" s="2" t="inlineStr">
        <is>
          <t xml:space="preserve">  CUST0843 </t>
        </is>
      </c>
      <c r="C843" s="2" t="inlineStr">
        <is>
          <t>2026-06-01 01:11:00</t>
        </is>
      </c>
      <c r="D843" s="2" t="inlineStr">
        <is>
          <t>female</t>
        </is>
      </c>
      <c r="E843" s="2" t="n">
        <v>65</v>
      </c>
      <c r="F843" s="2" t="inlineStr">
        <is>
          <t>Savings</t>
        </is>
      </c>
      <c r="G843" s="2" t="inlineStr">
        <is>
          <t>Utilities</t>
        </is>
      </c>
      <c r="H843" s="2" t="inlineStr">
        <is>
          <t>$3451.14</t>
        </is>
      </c>
      <c r="I843" s="2" t="n">
        <v>15966.75</v>
      </c>
      <c r="J843" s="2" t="inlineStr">
        <is>
          <t>ATM</t>
        </is>
      </c>
      <c r="K843" s="2" t="inlineStr">
        <is>
          <t>N</t>
        </is>
      </c>
    </row>
    <row r="844">
      <c r="A844" s="2" t="inlineStr">
        <is>
          <t>TXN100844</t>
        </is>
      </c>
      <c r="B844" s="2" t="inlineStr">
        <is>
          <t xml:space="preserve">  CUST0844 </t>
        </is>
      </c>
      <c r="C844" s="2" t="inlineStr">
        <is>
          <t>2026-06-01 15:48:00</t>
        </is>
      </c>
      <c r="D844" s="2" t="inlineStr">
        <is>
          <t>MALE</t>
        </is>
      </c>
      <c r="E844" s="2" t="n">
        <v>56</v>
      </c>
      <c r="F844" s="2" t="inlineStr">
        <is>
          <t>Investment</t>
        </is>
      </c>
      <c r="G844" s="2" t="inlineStr">
        <is>
          <t>Utilities</t>
        </is>
      </c>
      <c r="H844" s="2" t="inlineStr">
        <is>
          <t>$5284.03</t>
        </is>
      </c>
      <c r="I844" s="2" t="n">
        <v>34426.02</v>
      </c>
      <c r="J844" s="2" t="inlineStr">
        <is>
          <t>ATM</t>
        </is>
      </c>
      <c r="K844" s="2" t="inlineStr">
        <is>
          <t>N</t>
        </is>
      </c>
    </row>
    <row r="845">
      <c r="A845" s="2" t="inlineStr">
        <is>
          <t>TXN100845</t>
        </is>
      </c>
      <c r="B845" s="2" t="inlineStr">
        <is>
          <t xml:space="preserve">  CUST0845 </t>
        </is>
      </c>
      <c r="C845" s="2" t="inlineStr">
        <is>
          <t>2026-06-01 15:35:00</t>
        </is>
      </c>
      <c r="D845" s="2" t="inlineStr">
        <is>
          <t>Male</t>
        </is>
      </c>
      <c r="E845" s="2" t="n">
        <v>52</v>
      </c>
      <c r="F845" s="2" t="inlineStr">
        <is>
          <t>Savings</t>
        </is>
      </c>
      <c r="G845" s="2" t="inlineStr">
        <is>
          <t>Utilities</t>
        </is>
      </c>
      <c r="H845" s="2" t="inlineStr">
        <is>
          <t>$2114.49</t>
        </is>
      </c>
      <c r="I845" s="2" t="n">
        <v>29756.73</v>
      </c>
      <c r="J845" s="2" t="inlineStr">
        <is>
          <t>ATM</t>
        </is>
      </c>
      <c r="K845" s="2" t="inlineStr">
        <is>
          <t>N</t>
        </is>
      </c>
    </row>
    <row r="846">
      <c r="A846" s="2" t="inlineStr">
        <is>
          <t>TXN100846</t>
        </is>
      </c>
      <c r="B846" s="2" t="inlineStr">
        <is>
          <t xml:space="preserve">  CUST0846 </t>
        </is>
      </c>
      <c r="C846" s="2" t="inlineStr">
        <is>
          <t>2026-06-01 19:43:00</t>
        </is>
      </c>
      <c r="D846" s="2" t="inlineStr">
        <is>
          <t>Female</t>
        </is>
      </c>
      <c r="E846" s="2" t="n">
        <v>69</v>
      </c>
      <c r="F846" s="2" t="inlineStr">
        <is>
          <t>Checking</t>
        </is>
      </c>
      <c r="G846" s="2" t="inlineStr">
        <is>
          <t>Entertainment</t>
        </is>
      </c>
      <c r="H846" s="2" t="inlineStr">
        <is>
          <t>$500.78</t>
        </is>
      </c>
      <c r="I846" s="2" t="n">
        <v>29727.94</v>
      </c>
      <c r="J846" s="2" t="inlineStr">
        <is>
          <t>Online Banking</t>
        </is>
      </c>
      <c r="K846" s="2" t="inlineStr">
        <is>
          <t>N</t>
        </is>
      </c>
    </row>
    <row r="847">
      <c r="A847" s="2" t="inlineStr">
        <is>
          <t>TXN100847</t>
        </is>
      </c>
      <c r="B847" s="2" t="inlineStr">
        <is>
          <t xml:space="preserve">  CUST0847 </t>
        </is>
      </c>
      <c r="C847" s="2" t="inlineStr">
        <is>
          <t>2026-06-01 11:22:00</t>
        </is>
      </c>
      <c r="D847" s="2" t="inlineStr">
        <is>
          <t>M</t>
        </is>
      </c>
      <c r="E847" s="2" t="n">
        <v>68</v>
      </c>
      <c r="F847" s="2" t="inlineStr">
        <is>
          <t>Investment</t>
        </is>
      </c>
      <c r="G847" s="2" t="inlineStr">
        <is>
          <t>Entertainment</t>
        </is>
      </c>
      <c r="H847" s="2" t="inlineStr">
        <is>
          <t>$3050.78</t>
        </is>
      </c>
      <c r="I847" s="2" t="n">
        <v>21693.34</v>
      </c>
      <c r="J847" s="2" t="inlineStr">
        <is>
          <t>Branch Office</t>
        </is>
      </c>
      <c r="K847" s="2" t="inlineStr">
        <is>
          <t>N</t>
        </is>
      </c>
    </row>
    <row r="848">
      <c r="A848" s="2" t="inlineStr">
        <is>
          <t>TXN100848</t>
        </is>
      </c>
      <c r="B848" s="2" t="inlineStr">
        <is>
          <t xml:space="preserve">  CUST0848 </t>
        </is>
      </c>
      <c r="C848" s="2" t="inlineStr">
        <is>
          <t>2026-06-01 13:22:00</t>
        </is>
      </c>
      <c r="D848" s="2" t="inlineStr">
        <is>
          <t>M</t>
        </is>
      </c>
      <c r="E848" s="2" t="n">
        <v>62</v>
      </c>
      <c r="F848" s="2" t="inlineStr">
        <is>
          <t>Savings</t>
        </is>
      </c>
      <c r="G848" s="2" t="inlineStr">
        <is>
          <t>GROCERIES</t>
        </is>
      </c>
      <c r="H848" s="2" t="inlineStr">
        <is>
          <t>$1884.63</t>
        </is>
      </c>
      <c r="I848" s="2" t="n">
        <v>15948.93</v>
      </c>
      <c r="J848" s="2" t="inlineStr">
        <is>
          <t xml:space="preserve">Mobile App </t>
        </is>
      </c>
      <c r="K848" s="2" t="inlineStr">
        <is>
          <t>N</t>
        </is>
      </c>
    </row>
    <row r="849">
      <c r="A849" s="2" t="inlineStr">
        <is>
          <t>TXN100849</t>
        </is>
      </c>
      <c r="B849" s="2" t="inlineStr">
        <is>
          <t xml:space="preserve">  CUST0849 </t>
        </is>
      </c>
      <c r="C849" s="2" t="inlineStr">
        <is>
          <t>2026-06-01 22:04:00</t>
        </is>
      </c>
      <c r="D849" s="2" t="inlineStr">
        <is>
          <t>female</t>
        </is>
      </c>
      <c r="E849" s="2" t="n">
        <v>27</v>
      </c>
      <c r="F849" s="2" t="inlineStr">
        <is>
          <t>Checking</t>
        </is>
      </c>
      <c r="G849" s="2" t="inlineStr">
        <is>
          <t>GROCERIES</t>
        </is>
      </c>
      <c r="H849" s="2" t="inlineStr">
        <is>
          <t>$167.5</t>
        </is>
      </c>
      <c r="I849" s="2" t="n">
        <v>16642.78</v>
      </c>
      <c r="J849" s="2" t="inlineStr">
        <is>
          <t>ATM</t>
        </is>
      </c>
      <c r="K849" s="2" t="inlineStr">
        <is>
          <t>N</t>
        </is>
      </c>
    </row>
    <row r="850">
      <c r="A850" s="2" t="inlineStr">
        <is>
          <t>TXN100850</t>
        </is>
      </c>
      <c r="B850" s="2" t="inlineStr">
        <is>
          <t xml:space="preserve">  CUST0850 </t>
        </is>
      </c>
      <c r="C850" s="2" t="inlineStr">
        <is>
          <t>2026-06-01 21:55:00</t>
        </is>
      </c>
      <c r="D850" s="3" t="inlineStr"/>
      <c r="E850" s="2" t="n">
        <v>56</v>
      </c>
      <c r="F850" s="2" t="inlineStr">
        <is>
          <t>Investment</t>
        </is>
      </c>
      <c r="G850" s="2" t="inlineStr">
        <is>
          <t>Utilities</t>
        </is>
      </c>
      <c r="H850" s="2" t="inlineStr">
        <is>
          <t>$2140.28</t>
        </is>
      </c>
      <c r="I850" s="2" t="n">
        <v>34949.94</v>
      </c>
      <c r="J850" s="2" t="inlineStr">
        <is>
          <t xml:space="preserve">Mobile App </t>
        </is>
      </c>
      <c r="K850" s="2" t="inlineStr">
        <is>
          <t>N</t>
        </is>
      </c>
    </row>
    <row r="851">
      <c r="A851" s="2" t="inlineStr">
        <is>
          <t>TXN100851</t>
        </is>
      </c>
      <c r="B851" s="2" t="inlineStr">
        <is>
          <t xml:space="preserve">  CUST0851 </t>
        </is>
      </c>
      <c r="C851" s="2" t="inlineStr">
        <is>
          <t>2026-06-01 10:24:00</t>
        </is>
      </c>
      <c r="D851" s="3" t="inlineStr"/>
      <c r="E851" s="2" t="n">
        <v>40</v>
      </c>
      <c r="F851" s="2" t="inlineStr">
        <is>
          <t>Investment</t>
        </is>
      </c>
      <c r="G851" s="2" t="inlineStr">
        <is>
          <t>groceries</t>
        </is>
      </c>
      <c r="H851" s="2" t="inlineStr">
        <is>
          <t>$6468.53</t>
        </is>
      </c>
      <c r="I851" s="2" t="n">
        <v>5452.81</v>
      </c>
      <c r="J851" s="2" t="inlineStr">
        <is>
          <t>Online Banking</t>
        </is>
      </c>
      <c r="K851" s="2" t="inlineStr">
        <is>
          <t>N</t>
        </is>
      </c>
    </row>
    <row r="852">
      <c r="A852" s="2" t="inlineStr">
        <is>
          <t>TXN100852</t>
        </is>
      </c>
      <c r="B852" s="2" t="inlineStr">
        <is>
          <t xml:space="preserve">  CUST0852 </t>
        </is>
      </c>
      <c r="C852" s="2" t="inlineStr">
        <is>
          <t>2026-06-01 10:31:00</t>
        </is>
      </c>
      <c r="D852" s="2" t="inlineStr">
        <is>
          <t>Female</t>
        </is>
      </c>
      <c r="E852" s="2" t="n">
        <v>30</v>
      </c>
      <c r="F852" s="2" t="inlineStr">
        <is>
          <t>Investment</t>
        </is>
      </c>
      <c r="G852" s="2" t="inlineStr">
        <is>
          <t>Entertainment</t>
        </is>
      </c>
      <c r="H852" s="2" t="inlineStr">
        <is>
          <t>$2913.04</t>
        </is>
      </c>
      <c r="I852" s="2" t="n">
        <v>22081.56</v>
      </c>
      <c r="J852" s="2" t="inlineStr">
        <is>
          <t>ATM</t>
        </is>
      </c>
      <c r="K852" s="2" t="inlineStr">
        <is>
          <t>N</t>
        </is>
      </c>
    </row>
    <row r="853">
      <c r="A853" s="2" t="inlineStr">
        <is>
          <t>TXN100853</t>
        </is>
      </c>
      <c r="B853" s="2" t="inlineStr">
        <is>
          <t xml:space="preserve">  CUST0853 </t>
        </is>
      </c>
      <c r="C853" s="2" t="inlineStr">
        <is>
          <t>2026-06-01 20:54:00</t>
        </is>
      </c>
      <c r="D853" s="2" t="inlineStr">
        <is>
          <t>MALE</t>
        </is>
      </c>
      <c r="E853" s="2" t="n">
        <v>73</v>
      </c>
      <c r="F853" s="2" t="inlineStr">
        <is>
          <t>Investment</t>
        </is>
      </c>
      <c r="G853" s="2" t="inlineStr">
        <is>
          <t>GROCERIES</t>
        </is>
      </c>
      <c r="H853" s="2" t="inlineStr">
        <is>
          <t>$2305.97</t>
        </is>
      </c>
      <c r="I853" s="2" t="n">
        <v>2852.8</v>
      </c>
      <c r="J853" s="2" t="inlineStr">
        <is>
          <t>ATM</t>
        </is>
      </c>
      <c r="K853" s="2" t="inlineStr">
        <is>
          <t>N</t>
        </is>
      </c>
    </row>
    <row r="854">
      <c r="A854" s="2" t="inlineStr">
        <is>
          <t>TXN100854</t>
        </is>
      </c>
      <c r="B854" s="2" t="inlineStr">
        <is>
          <t xml:space="preserve">  CUST0854 </t>
        </is>
      </c>
      <c r="C854" s="2" t="inlineStr">
        <is>
          <t>2026-06-01 07:39:00</t>
        </is>
      </c>
      <c r="D854" s="2" t="inlineStr">
        <is>
          <t>MALE</t>
        </is>
      </c>
      <c r="E854" s="2" t="n">
        <v>65</v>
      </c>
      <c r="F854" s="2" t="inlineStr">
        <is>
          <t>Investment</t>
        </is>
      </c>
      <c r="G854" s="2" t="inlineStr">
        <is>
          <t>groceries</t>
        </is>
      </c>
      <c r="H854" s="2" t="inlineStr">
        <is>
          <t>$4739.0</t>
        </is>
      </c>
      <c r="I854" s="2" t="n">
        <v>14031.56</v>
      </c>
      <c r="J854" s="2" t="inlineStr">
        <is>
          <t>ATM</t>
        </is>
      </c>
      <c r="K854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20" customWidth="1" min="4" max="4"/>
    <col width="20" customWidth="1" min="5" max="5"/>
    <col width="15" customWidth="1" min="6" max="6"/>
    <col width="12" customWidth="1" min="7" max="7"/>
    <col width="19" customWidth="1" min="8" max="8"/>
    <col width="16" customWidth="1" min="9" max="9"/>
    <col width="17" customWidth="1" min="10" max="10"/>
    <col width="14" customWidth="1" min="11" max="11"/>
    <col width="28" customWidth="1" min="12" max="12"/>
    <col width="18" customWidth="1" min="13" max="13"/>
    <col width="17" customWidth="1" min="14" max="14"/>
    <col width="19" customWidth="1" min="15" max="15"/>
    <col width="19" customWidth="1" min="16" max="16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Timestamp</t>
        </is>
      </c>
      <c r="D1" s="1" t="inlineStr">
        <is>
          <t>Transaction_Date</t>
        </is>
      </c>
      <c r="E1" s="1" t="inlineStr">
        <is>
          <t>Transaction_Hour</t>
        </is>
      </c>
      <c r="F1" s="1" t="inlineStr">
        <is>
          <t>Cust_Gender</t>
        </is>
      </c>
      <c r="G1" s="1" t="inlineStr">
        <is>
          <t>Cust_Age</t>
        </is>
      </c>
      <c r="H1" s="1" t="inlineStr">
        <is>
          <t>Age_Tier</t>
        </is>
      </c>
      <c r="I1" s="1" t="inlineStr">
        <is>
          <t>Account_Type</t>
        </is>
      </c>
      <c r="J1" s="1" t="inlineStr">
        <is>
          <t>Category</t>
        </is>
      </c>
      <c r="K1" s="1" t="inlineStr">
        <is>
          <t>Amount_USD</t>
        </is>
      </c>
      <c r="L1" s="1" t="inlineStr">
        <is>
          <t>Post_Transaction_Balance</t>
        </is>
      </c>
      <c r="M1" s="1" t="inlineStr">
        <is>
          <t>Channel</t>
        </is>
      </c>
      <c r="N1" s="1" t="inlineStr">
        <is>
          <t>Flagged_Fraud</t>
        </is>
      </c>
      <c r="O1" s="1" t="inlineStr">
        <is>
          <t>Day_of_Week</t>
        </is>
      </c>
      <c r="P1" s="1" t="inlineStr">
        <is>
          <t>Quarter</t>
        </is>
      </c>
    </row>
    <row r="2">
      <c r="A2" s="4" t="inlineStr">
        <is>
          <t>TXN100002</t>
        </is>
      </c>
      <c r="B2" s="4" t="inlineStr">
        <is>
          <t>CUST0002</t>
        </is>
      </c>
      <c r="C2" s="4" t="inlineStr">
        <is>
          <t>2026-06-01 20:07:00</t>
        </is>
      </c>
      <c r="D2" s="4">
        <f>TEXT(LEFT(C2,10),"YYYY-MM-DD")</f>
        <v/>
      </c>
      <c r="E2" s="5">
        <f>HOUR(C2)</f>
        <v/>
      </c>
      <c r="F2" s="4" t="inlineStr">
        <is>
          <t>Male</t>
        </is>
      </c>
      <c r="G2" s="5" t="n">
        <v>67</v>
      </c>
      <c r="H2" s="4">
        <f>IF(G2&gt;=60, "Boomer", IF(G2&gt;=45, "Gen X", IF(G2&gt;=25, "Millennial", "Gen Z")))</f>
        <v/>
      </c>
      <c r="I2" s="4" t="inlineStr">
        <is>
          <t>Checking</t>
        </is>
      </c>
      <c r="J2" s="4" t="inlineStr">
        <is>
          <t>Groceries</t>
        </is>
      </c>
      <c r="K2" s="6" t="n">
        <v>1793.45</v>
      </c>
      <c r="L2" s="6" t="n">
        <v>36955.33</v>
      </c>
      <c r="M2" s="4" t="inlineStr">
        <is>
          <t>Mobile App</t>
        </is>
      </c>
      <c r="N2" s="4" t="inlineStr">
        <is>
          <t>N</t>
        </is>
      </c>
      <c r="O2" s="4">
        <f>TEXT(D2, "dddd")</f>
        <v/>
      </c>
      <c r="P2" s="4">
        <f>"Q"&amp;ROUNDUP(MONTH(D2)/3, 0)</f>
        <v/>
      </c>
    </row>
    <row r="3">
      <c r="A3" s="7" t="inlineStr">
        <is>
          <t>TXN100003</t>
        </is>
      </c>
      <c r="B3" s="7" t="inlineStr">
        <is>
          <t>CUST0003</t>
        </is>
      </c>
      <c r="C3" s="7" t="inlineStr">
        <is>
          <t>2026-06-01 18:27:00</t>
        </is>
      </c>
      <c r="D3" s="7">
        <f>TEXT(LEFT(C3,10),"YYYY-MM-DD")</f>
        <v/>
      </c>
      <c r="E3" s="8">
        <f>HOUR(C3)</f>
        <v/>
      </c>
      <c r="F3" s="7" t="inlineStr">
        <is>
          <t>Male</t>
        </is>
      </c>
      <c r="G3" s="8" t="n">
        <v>21</v>
      </c>
      <c r="H3" s="7">
        <f>IF(G3&gt;=60, "Boomer", IF(G3&gt;=45, "Gen X", IF(G3&gt;=25, "Millennial", "Gen Z")))</f>
        <v/>
      </c>
      <c r="I3" s="7" t="inlineStr">
        <is>
          <t>Savings</t>
        </is>
      </c>
      <c r="J3" s="7" t="inlineStr">
        <is>
          <t>Groceries</t>
        </is>
      </c>
      <c r="K3" s="9" t="n">
        <v>1868.96</v>
      </c>
      <c r="L3" s="9" t="n">
        <v>30299.93</v>
      </c>
      <c r="M3" s="7" t="inlineStr">
        <is>
          <t>Online Banking</t>
        </is>
      </c>
      <c r="N3" s="7" t="inlineStr">
        <is>
          <t>N</t>
        </is>
      </c>
      <c r="O3" s="7">
        <f>TEXT(D3, "dddd")</f>
        <v/>
      </c>
      <c r="P3" s="7">
        <f>"Q"&amp;ROUNDUP(MONTH(D3)/3, 0)</f>
        <v/>
      </c>
    </row>
    <row r="4">
      <c r="A4" s="4" t="inlineStr">
        <is>
          <t>TXN100004</t>
        </is>
      </c>
      <c r="B4" s="4" t="inlineStr">
        <is>
          <t>CUST0004</t>
        </is>
      </c>
      <c r="C4" s="4" t="inlineStr">
        <is>
          <t>2026-06-01 22:41:00</t>
        </is>
      </c>
      <c r="D4" s="4">
        <f>TEXT(LEFT(C4,10),"YYYY-MM-DD")</f>
        <v/>
      </c>
      <c r="E4" s="5">
        <f>HOUR(C4)</f>
        <v/>
      </c>
      <c r="F4" s="4" t="inlineStr">
        <is>
          <t>Unspecified</t>
        </is>
      </c>
      <c r="G4" s="5" t="n">
        <v>34</v>
      </c>
      <c r="H4" s="4">
        <f>IF(G4&gt;=60, "Boomer", IF(G4&gt;=45, "Gen X", IF(G4&gt;=25, "Millennial", "Gen Z")))</f>
        <v/>
      </c>
      <c r="I4" s="4" t="inlineStr">
        <is>
          <t>Checking</t>
        </is>
      </c>
      <c r="J4" s="4" t="inlineStr">
        <is>
          <t>Travel</t>
        </is>
      </c>
      <c r="K4" s="6" t="n">
        <v>2232.74</v>
      </c>
      <c r="L4" s="6" t="n">
        <v>43530.37</v>
      </c>
      <c r="M4" s="4" t="inlineStr">
        <is>
          <t>Online Banking</t>
        </is>
      </c>
      <c r="N4" s="4" t="inlineStr">
        <is>
          <t>N</t>
        </is>
      </c>
      <c r="O4" s="4">
        <f>TEXT(D4, "dddd")</f>
        <v/>
      </c>
      <c r="P4" s="4">
        <f>"Q"&amp;ROUNDUP(MONTH(D4)/3, 0)</f>
        <v/>
      </c>
    </row>
    <row r="5">
      <c r="A5" s="7" t="inlineStr">
        <is>
          <t>TXN100005</t>
        </is>
      </c>
      <c r="B5" s="7" t="inlineStr">
        <is>
          <t>CUST0005</t>
        </is>
      </c>
      <c r="C5" s="7" t="inlineStr">
        <is>
          <t>2026-06-01 22:27:00</t>
        </is>
      </c>
      <c r="D5" s="7">
        <f>TEXT(LEFT(C5,10),"YYYY-MM-DD")</f>
        <v/>
      </c>
      <c r="E5" s="8">
        <f>HOUR(C5)</f>
        <v/>
      </c>
      <c r="F5" s="7" t="inlineStr">
        <is>
          <t>Female</t>
        </is>
      </c>
      <c r="G5" s="8" t="n">
        <v>37</v>
      </c>
      <c r="H5" s="7">
        <f>IF(G5&gt;=60, "Boomer", IF(G5&gt;=45, "Gen X", IF(G5&gt;=25, "Millennial", "Gen Z")))</f>
        <v/>
      </c>
      <c r="I5" s="7" t="inlineStr">
        <is>
          <t>Savings</t>
        </is>
      </c>
      <c r="J5" s="7" t="inlineStr">
        <is>
          <t>Groceries</t>
        </is>
      </c>
      <c r="K5" s="9" t="n">
        <v>7658.13</v>
      </c>
      <c r="L5" s="9" t="n">
        <v>17161.43</v>
      </c>
      <c r="M5" s="7" t="inlineStr">
        <is>
          <t>Mobile App</t>
        </is>
      </c>
      <c r="N5" s="7" t="inlineStr">
        <is>
          <t>N</t>
        </is>
      </c>
      <c r="O5" s="7">
        <f>TEXT(D5, "dddd")</f>
        <v/>
      </c>
      <c r="P5" s="7">
        <f>"Q"&amp;ROUNDUP(MONTH(D5)/3, 0)</f>
        <v/>
      </c>
    </row>
    <row r="6">
      <c r="A6" s="4" t="inlineStr">
        <is>
          <t>TXN100006</t>
        </is>
      </c>
      <c r="B6" s="4" t="inlineStr">
        <is>
          <t>CUST0006</t>
        </is>
      </c>
      <c r="C6" s="4" t="inlineStr">
        <is>
          <t>2026-06-01 11:54:00</t>
        </is>
      </c>
      <c r="D6" s="4">
        <f>TEXT(LEFT(C6,10),"YYYY-MM-DD")</f>
        <v/>
      </c>
      <c r="E6" s="5">
        <f>HOUR(C6)</f>
        <v/>
      </c>
      <c r="F6" s="4" t="inlineStr">
        <is>
          <t>Female</t>
        </is>
      </c>
      <c r="G6" s="5" t="n">
        <v>58</v>
      </c>
      <c r="H6" s="4">
        <f>IF(G6&gt;=60, "Boomer", IF(G6&gt;=45, "Gen X", IF(G6&gt;=25, "Millennial", "Gen Z")))</f>
        <v/>
      </c>
      <c r="I6" s="4" t="inlineStr">
        <is>
          <t>Checking</t>
        </is>
      </c>
      <c r="J6" s="4" t="inlineStr">
        <is>
          <t>Groceries</t>
        </is>
      </c>
      <c r="K6" s="6" t="n">
        <v>5840.56</v>
      </c>
      <c r="L6" s="6" t="n">
        <v>27043.29</v>
      </c>
      <c r="M6" s="4" t="inlineStr">
        <is>
          <t>ATM</t>
        </is>
      </c>
      <c r="N6" s="4" t="inlineStr">
        <is>
          <t>N</t>
        </is>
      </c>
      <c r="O6" s="4">
        <f>TEXT(D6, "dddd")</f>
        <v/>
      </c>
      <c r="P6" s="4">
        <f>"Q"&amp;ROUNDUP(MONTH(D6)/3, 0)</f>
        <v/>
      </c>
    </row>
    <row r="7">
      <c r="A7" s="7" t="inlineStr">
        <is>
          <t>TXN100007</t>
        </is>
      </c>
      <c r="B7" s="7" t="inlineStr">
        <is>
          <t>CUST0007</t>
        </is>
      </c>
      <c r="C7" s="7" t="inlineStr">
        <is>
          <t>2026-06-01 02:35:00</t>
        </is>
      </c>
      <c r="D7" s="7">
        <f>TEXT(LEFT(C7,10),"YYYY-MM-DD")</f>
        <v/>
      </c>
      <c r="E7" s="8">
        <f>HOUR(C7)</f>
        <v/>
      </c>
      <c r="F7" s="7" t="inlineStr">
        <is>
          <t>Female</t>
        </is>
      </c>
      <c r="G7" s="8" t="n">
        <v>73</v>
      </c>
      <c r="H7" s="7">
        <f>IF(G7&gt;=60, "Boomer", IF(G7&gt;=45, "Gen X", IF(G7&gt;=25, "Millennial", "Gen Z")))</f>
        <v/>
      </c>
      <c r="I7" s="7" t="inlineStr">
        <is>
          <t>Investment</t>
        </is>
      </c>
      <c r="J7" s="7" t="inlineStr">
        <is>
          <t>Travel</t>
        </is>
      </c>
      <c r="K7" s="9" t="n">
        <v>7084.76</v>
      </c>
      <c r="L7" s="9" t="n">
        <v>18400.93</v>
      </c>
      <c r="M7" s="7" t="inlineStr">
        <is>
          <t>Online Banking</t>
        </is>
      </c>
      <c r="N7" s="7" t="inlineStr">
        <is>
          <t>Y</t>
        </is>
      </c>
      <c r="O7" s="7">
        <f>TEXT(D7, "dddd")</f>
        <v/>
      </c>
      <c r="P7" s="7">
        <f>"Q"&amp;ROUNDUP(MONTH(D7)/3, 0)</f>
        <v/>
      </c>
    </row>
    <row r="8">
      <c r="A8" s="4" t="inlineStr">
        <is>
          <t>TXN100008</t>
        </is>
      </c>
      <c r="B8" s="4" t="inlineStr">
        <is>
          <t>CUST0008</t>
        </is>
      </c>
      <c r="C8" s="4" t="inlineStr">
        <is>
          <t>2026-06-01 01:42:00</t>
        </is>
      </c>
      <c r="D8" s="4">
        <f>TEXT(LEFT(C8,10),"YYYY-MM-DD")</f>
        <v/>
      </c>
      <c r="E8" s="5">
        <f>HOUR(C8)</f>
        <v/>
      </c>
      <c r="F8" s="4" t="inlineStr">
        <is>
          <t>Female</t>
        </is>
      </c>
      <c r="G8" s="5" t="n">
        <v>69</v>
      </c>
      <c r="H8" s="4">
        <f>IF(G8&gt;=60, "Boomer", IF(G8&gt;=45, "Gen X", IF(G8&gt;=25, "Millennial", "Gen Z")))</f>
        <v/>
      </c>
      <c r="I8" s="4" t="inlineStr">
        <is>
          <t>Checking</t>
        </is>
      </c>
      <c r="J8" s="4" t="inlineStr">
        <is>
          <t>Groceries</t>
        </is>
      </c>
      <c r="K8" s="6" t="n">
        <v>6843.99</v>
      </c>
      <c r="L8" s="6" t="n">
        <v>43390.94</v>
      </c>
      <c r="M8" s="4" t="inlineStr">
        <is>
          <t>ATM</t>
        </is>
      </c>
      <c r="N8" s="4" t="inlineStr">
        <is>
          <t>N</t>
        </is>
      </c>
      <c r="O8" s="4">
        <f>TEXT(D8, "dddd")</f>
        <v/>
      </c>
      <c r="P8" s="4">
        <f>"Q"&amp;ROUNDUP(MONTH(D8)/3, 0)</f>
        <v/>
      </c>
    </row>
    <row r="9">
      <c r="A9" s="7" t="inlineStr">
        <is>
          <t>TXN100009</t>
        </is>
      </c>
      <c r="B9" s="7" t="inlineStr">
        <is>
          <t>CUST0009</t>
        </is>
      </c>
      <c r="C9" s="7" t="inlineStr">
        <is>
          <t>2026-06-01 08:29:00</t>
        </is>
      </c>
      <c r="D9" s="7">
        <f>TEXT(LEFT(C9,10),"YYYY-MM-DD")</f>
        <v/>
      </c>
      <c r="E9" s="8">
        <f>HOUR(C9)</f>
        <v/>
      </c>
      <c r="F9" s="7" t="inlineStr">
        <is>
          <t>Female</t>
        </is>
      </c>
      <c r="G9" s="8" t="n">
        <v>30</v>
      </c>
      <c r="H9" s="7">
        <f>IF(G9&gt;=60, "Boomer", IF(G9&gt;=45, "Gen X", IF(G9&gt;=25, "Millennial", "Gen Z")))</f>
        <v/>
      </c>
      <c r="I9" s="7" t="inlineStr">
        <is>
          <t>Checking</t>
        </is>
      </c>
      <c r="J9" s="7" t="inlineStr">
        <is>
          <t>Entertainment</t>
        </is>
      </c>
      <c r="K9" s="9" t="n">
        <v>1683.96</v>
      </c>
      <c r="L9" s="9" t="n">
        <v>13715.4</v>
      </c>
      <c r="M9" s="7" t="inlineStr">
        <is>
          <t>Mobile App</t>
        </is>
      </c>
      <c r="N9" s="7" t="inlineStr">
        <is>
          <t>N</t>
        </is>
      </c>
      <c r="O9" s="7">
        <f>TEXT(D9, "dddd")</f>
        <v/>
      </c>
      <c r="P9" s="7">
        <f>"Q"&amp;ROUNDUP(MONTH(D9)/3, 0)</f>
        <v/>
      </c>
    </row>
    <row r="10">
      <c r="A10" s="4" t="inlineStr">
        <is>
          <t>TXN100010</t>
        </is>
      </c>
      <c r="B10" s="4" t="inlineStr">
        <is>
          <t>CUST0010</t>
        </is>
      </c>
      <c r="C10" s="4" t="inlineStr">
        <is>
          <t>2026-06-01 19:40:00</t>
        </is>
      </c>
      <c r="D10" s="4">
        <f>TEXT(LEFT(C10,10),"YYYY-MM-DD")</f>
        <v/>
      </c>
      <c r="E10" s="5">
        <f>HOUR(C10)</f>
        <v/>
      </c>
      <c r="F10" s="4" t="inlineStr">
        <is>
          <t>Male</t>
        </is>
      </c>
      <c r="G10" s="5" t="n">
        <v>54</v>
      </c>
      <c r="H10" s="4">
        <f>IF(G10&gt;=60, "Boomer", IF(G10&gt;=45, "Gen X", IF(G10&gt;=25, "Millennial", "Gen Z")))</f>
        <v/>
      </c>
      <c r="I10" s="4" t="inlineStr">
        <is>
          <t>Investment</t>
        </is>
      </c>
      <c r="J10" s="4" t="inlineStr">
        <is>
          <t>Groceries</t>
        </is>
      </c>
      <c r="K10" s="6" t="n">
        <v>1315.59</v>
      </c>
      <c r="L10" s="6" t="n">
        <v>19283.04</v>
      </c>
      <c r="M10" s="4" t="inlineStr">
        <is>
          <t>Online Banking</t>
        </is>
      </c>
      <c r="N10" s="4" t="inlineStr">
        <is>
          <t>N</t>
        </is>
      </c>
      <c r="O10" s="4">
        <f>TEXT(D10, "dddd")</f>
        <v/>
      </c>
      <c r="P10" s="4">
        <f>"Q"&amp;ROUNDUP(MONTH(D10)/3, 0)</f>
        <v/>
      </c>
    </row>
    <row r="11">
      <c r="A11" s="7" t="inlineStr">
        <is>
          <t>TXN100011</t>
        </is>
      </c>
      <c r="B11" s="7" t="inlineStr">
        <is>
          <t>CUST0011</t>
        </is>
      </c>
      <c r="C11" s="7" t="inlineStr">
        <is>
          <t>2026-06-01 21:20:00</t>
        </is>
      </c>
      <c r="D11" s="7">
        <f>TEXT(LEFT(C11,10),"YYYY-MM-DD")</f>
        <v/>
      </c>
      <c r="E11" s="8">
        <f>HOUR(C11)</f>
        <v/>
      </c>
      <c r="F11" s="7" t="inlineStr">
        <is>
          <t>Male</t>
        </is>
      </c>
      <c r="G11" s="8" t="n">
        <v>34</v>
      </c>
      <c r="H11" s="7">
        <f>IF(G11&gt;=60, "Boomer", IF(G11&gt;=45, "Gen X", IF(G11&gt;=25, "Millennial", "Gen Z")))</f>
        <v/>
      </c>
      <c r="I11" s="7" t="inlineStr">
        <is>
          <t>Savings</t>
        </is>
      </c>
      <c r="J11" s="7" t="inlineStr">
        <is>
          <t>Entertainment</t>
        </is>
      </c>
      <c r="K11" s="9" t="n">
        <v>3215.31</v>
      </c>
      <c r="L11" s="9" t="n">
        <v>3776.34</v>
      </c>
      <c r="M11" s="7" t="inlineStr">
        <is>
          <t>Branch Office</t>
        </is>
      </c>
      <c r="N11" s="7" t="inlineStr">
        <is>
          <t>N</t>
        </is>
      </c>
      <c r="O11" s="7">
        <f>TEXT(D11, "dddd")</f>
        <v/>
      </c>
      <c r="P11" s="7">
        <f>"Q"&amp;ROUNDUP(MONTH(D11)/3, 0)</f>
        <v/>
      </c>
    </row>
    <row r="12">
      <c r="A12" s="4" t="inlineStr">
        <is>
          <t>TXN100012</t>
        </is>
      </c>
      <c r="B12" s="4" t="inlineStr">
        <is>
          <t>CUST0012</t>
        </is>
      </c>
      <c r="C12" s="4" t="inlineStr">
        <is>
          <t>2026-06-01 06:41:00</t>
        </is>
      </c>
      <c r="D12" s="4">
        <f>TEXT(LEFT(C12,10),"YYYY-MM-DD")</f>
        <v/>
      </c>
      <c r="E12" s="5">
        <f>HOUR(C12)</f>
        <v/>
      </c>
      <c r="F12" s="4" t="inlineStr">
        <is>
          <t>Unspecified</t>
        </is>
      </c>
      <c r="G12" s="5" t="n">
        <v>45</v>
      </c>
      <c r="H12" s="4">
        <f>IF(G12&gt;=60, "Boomer", IF(G12&gt;=45, "Gen X", IF(G12&gt;=25, "Millennial", "Gen Z")))</f>
        <v/>
      </c>
      <c r="I12" s="4" t="inlineStr">
        <is>
          <t>Investment</t>
        </is>
      </c>
      <c r="J12" s="4" t="inlineStr">
        <is>
          <t>Utilities</t>
        </is>
      </c>
      <c r="K12" s="6" t="n">
        <v>1151.54</v>
      </c>
      <c r="L12" s="6" t="n">
        <v>7411.7</v>
      </c>
      <c r="M12" s="4" t="inlineStr">
        <is>
          <t>Branch Office</t>
        </is>
      </c>
      <c r="N12" s="4" t="inlineStr">
        <is>
          <t>N</t>
        </is>
      </c>
      <c r="O12" s="4">
        <f>TEXT(D12, "dddd")</f>
        <v/>
      </c>
      <c r="P12" s="4">
        <f>"Q"&amp;ROUNDUP(MONTH(D12)/3, 0)</f>
        <v/>
      </c>
    </row>
    <row r="13">
      <c r="A13" s="7" t="inlineStr">
        <is>
          <t>TXN100013</t>
        </is>
      </c>
      <c r="B13" s="7" t="inlineStr">
        <is>
          <t>CUST0013</t>
        </is>
      </c>
      <c r="C13" s="7" t="inlineStr">
        <is>
          <t>2026-06-01 23:37:00</t>
        </is>
      </c>
      <c r="D13" s="7">
        <f>TEXT(LEFT(C13,10),"YYYY-MM-DD")</f>
        <v/>
      </c>
      <c r="E13" s="8">
        <f>HOUR(C13)</f>
        <v/>
      </c>
      <c r="F13" s="7" t="inlineStr">
        <is>
          <t>Unspecified</t>
        </is>
      </c>
      <c r="G13" s="8" t="n">
        <v>57</v>
      </c>
      <c r="H13" s="7">
        <f>IF(G13&gt;=60, "Boomer", IF(G13&gt;=45, "Gen X", IF(G13&gt;=25, "Millennial", "Gen Z")))</f>
        <v/>
      </c>
      <c r="I13" s="7" t="inlineStr">
        <is>
          <t>Checking</t>
        </is>
      </c>
      <c r="J13" s="7" t="inlineStr">
        <is>
          <t>Entertainment</t>
        </is>
      </c>
      <c r="K13" s="9" t="n">
        <v>1762.37</v>
      </c>
      <c r="L13" s="9" t="n">
        <v>49878.11</v>
      </c>
      <c r="M13" s="7" t="inlineStr">
        <is>
          <t>ATM</t>
        </is>
      </c>
      <c r="N13" s="7" t="inlineStr">
        <is>
          <t>N</t>
        </is>
      </c>
      <c r="O13" s="7">
        <f>TEXT(D13, "dddd")</f>
        <v/>
      </c>
      <c r="P13" s="7">
        <f>"Q"&amp;ROUNDUP(MONTH(D13)/3, 0)</f>
        <v/>
      </c>
    </row>
    <row r="14">
      <c r="A14" s="4" t="inlineStr">
        <is>
          <t>TXN100014</t>
        </is>
      </c>
      <c r="B14" s="4" t="inlineStr">
        <is>
          <t>CUST0014</t>
        </is>
      </c>
      <c r="C14" s="4" t="inlineStr">
        <is>
          <t>2026-06-01 02:48:00</t>
        </is>
      </c>
      <c r="D14" s="4">
        <f>TEXT(LEFT(C14,10),"YYYY-MM-DD")</f>
        <v/>
      </c>
      <c r="E14" s="5">
        <f>HOUR(C14)</f>
        <v/>
      </c>
      <c r="F14" s="4" t="inlineStr">
        <is>
          <t>Male</t>
        </is>
      </c>
      <c r="G14" s="5" t="n">
        <v>75</v>
      </c>
      <c r="H14" s="4">
        <f>IF(G14&gt;=60, "Boomer", IF(G14&gt;=45, "Gen X", IF(G14&gt;=25, "Millennial", "Gen Z")))</f>
        <v/>
      </c>
      <c r="I14" s="4" t="inlineStr">
        <is>
          <t>Savings</t>
        </is>
      </c>
      <c r="J14" s="4" t="inlineStr">
        <is>
          <t>Groceries</t>
        </is>
      </c>
      <c r="K14" s="6" t="n">
        <v>5023.29</v>
      </c>
      <c r="L14" s="6" t="n">
        <v>39707.93</v>
      </c>
      <c r="M14" s="4" t="inlineStr">
        <is>
          <t>ATM</t>
        </is>
      </c>
      <c r="N14" s="4" t="inlineStr">
        <is>
          <t>N</t>
        </is>
      </c>
      <c r="O14" s="4">
        <f>TEXT(D14, "dddd")</f>
        <v/>
      </c>
      <c r="P14" s="4">
        <f>"Q"&amp;ROUNDUP(MONTH(D14)/3, 0)</f>
        <v/>
      </c>
    </row>
    <row r="15">
      <c r="A15" s="7" t="inlineStr">
        <is>
          <t>TXN100016</t>
        </is>
      </c>
      <c r="B15" s="7" t="inlineStr">
        <is>
          <t>CUST0016</t>
        </is>
      </c>
      <c r="C15" s="7" t="inlineStr">
        <is>
          <t>2026-06-01 19:04:00</t>
        </is>
      </c>
      <c r="D15" s="7">
        <f>TEXT(LEFT(C15,10),"YYYY-MM-DD")</f>
        <v/>
      </c>
      <c r="E15" s="8">
        <f>HOUR(C15)</f>
        <v/>
      </c>
      <c r="F15" s="7" t="inlineStr">
        <is>
          <t>Unspecified</t>
        </is>
      </c>
      <c r="G15" s="8" t="n">
        <v>44</v>
      </c>
      <c r="H15" s="7">
        <f>IF(G15&gt;=60, "Boomer", IF(G15&gt;=45, "Gen X", IF(G15&gt;=25, "Millennial", "Gen Z")))</f>
        <v/>
      </c>
      <c r="I15" s="7" t="inlineStr">
        <is>
          <t>Investment</t>
        </is>
      </c>
      <c r="J15" s="7" t="inlineStr">
        <is>
          <t>Utilities</t>
        </is>
      </c>
      <c r="K15" s="9" t="n">
        <v>4237.62</v>
      </c>
      <c r="L15" s="9" t="n">
        <v>48568.38</v>
      </c>
      <c r="M15" s="7" t="inlineStr">
        <is>
          <t>Mobile App</t>
        </is>
      </c>
      <c r="N15" s="7" t="inlineStr">
        <is>
          <t>N</t>
        </is>
      </c>
      <c r="O15" s="7">
        <f>TEXT(D15, "dddd")</f>
        <v/>
      </c>
      <c r="P15" s="7">
        <f>"Q"&amp;ROUNDUP(MONTH(D15)/3, 0)</f>
        <v/>
      </c>
    </row>
    <row r="16">
      <c r="A16" s="4" t="inlineStr">
        <is>
          <t>TXN100017</t>
        </is>
      </c>
      <c r="B16" s="4" t="inlineStr">
        <is>
          <t>CUST0017</t>
        </is>
      </c>
      <c r="C16" s="4" t="inlineStr">
        <is>
          <t>2026-06-01 21:46:00</t>
        </is>
      </c>
      <c r="D16" s="4">
        <f>TEXT(LEFT(C16,10),"YYYY-MM-DD")</f>
        <v/>
      </c>
      <c r="E16" s="5">
        <f>HOUR(C16)</f>
        <v/>
      </c>
      <c r="F16" s="4" t="inlineStr">
        <is>
          <t>Male</t>
        </is>
      </c>
      <c r="G16" s="5" t="n">
        <v>63</v>
      </c>
      <c r="H16" s="4">
        <f>IF(G16&gt;=60, "Boomer", IF(G16&gt;=45, "Gen X", IF(G16&gt;=25, "Millennial", "Gen Z")))</f>
        <v/>
      </c>
      <c r="I16" s="4" t="inlineStr">
        <is>
          <t>Investment</t>
        </is>
      </c>
      <c r="J16" s="4" t="inlineStr">
        <is>
          <t>Entertainment</t>
        </is>
      </c>
      <c r="K16" s="6" t="n">
        <v>6151.1</v>
      </c>
      <c r="L16" s="6" t="n">
        <v>17338.69</v>
      </c>
      <c r="M16" s="4" t="inlineStr">
        <is>
          <t>Branch Office</t>
        </is>
      </c>
      <c r="N16" s="4" t="inlineStr">
        <is>
          <t>N</t>
        </is>
      </c>
      <c r="O16" s="4">
        <f>TEXT(D16, "dddd")</f>
        <v/>
      </c>
      <c r="P16" s="4">
        <f>"Q"&amp;ROUNDUP(MONTH(D16)/3, 0)</f>
        <v/>
      </c>
    </row>
    <row r="17">
      <c r="A17" s="7" t="inlineStr">
        <is>
          <t>TXN100018</t>
        </is>
      </c>
      <c r="B17" s="7" t="inlineStr">
        <is>
          <t>CUST0018</t>
        </is>
      </c>
      <c r="C17" s="7" t="inlineStr">
        <is>
          <t>2026-06-01 13:10:00</t>
        </is>
      </c>
      <c r="D17" s="7">
        <f>TEXT(LEFT(C17,10),"YYYY-MM-DD")</f>
        <v/>
      </c>
      <c r="E17" s="8">
        <f>HOUR(C17)</f>
        <v/>
      </c>
      <c r="F17" s="7" t="inlineStr">
        <is>
          <t>Unspecified</t>
        </is>
      </c>
      <c r="G17" s="8" t="n">
        <v>20</v>
      </c>
      <c r="H17" s="7">
        <f>IF(G17&gt;=60, "Boomer", IF(G17&gt;=45, "Gen X", IF(G17&gt;=25, "Millennial", "Gen Z")))</f>
        <v/>
      </c>
      <c r="I17" s="7" t="inlineStr">
        <is>
          <t>Investment</t>
        </is>
      </c>
      <c r="J17" s="7" t="inlineStr">
        <is>
          <t>Entertainment</t>
        </is>
      </c>
      <c r="K17" s="9" t="n">
        <v>7775.39</v>
      </c>
      <c r="L17" s="9" t="n">
        <v>38217.13</v>
      </c>
      <c r="M17" s="7" t="inlineStr">
        <is>
          <t>Mobile App</t>
        </is>
      </c>
      <c r="N17" s="7" t="inlineStr">
        <is>
          <t>Y</t>
        </is>
      </c>
      <c r="O17" s="7">
        <f>TEXT(D17, "dddd")</f>
        <v/>
      </c>
      <c r="P17" s="7">
        <f>"Q"&amp;ROUNDUP(MONTH(D17)/3, 0)</f>
        <v/>
      </c>
    </row>
    <row r="18">
      <c r="A18" s="4" t="inlineStr">
        <is>
          <t>TXN100019</t>
        </is>
      </c>
      <c r="B18" s="4" t="inlineStr">
        <is>
          <t>CUST0019</t>
        </is>
      </c>
      <c r="C18" s="4" t="inlineStr">
        <is>
          <t>2026-06-01 09:53:00</t>
        </is>
      </c>
      <c r="D18" s="4">
        <f>TEXT(LEFT(C18,10),"YYYY-MM-DD")</f>
        <v/>
      </c>
      <c r="E18" s="5">
        <f>HOUR(C18)</f>
        <v/>
      </c>
      <c r="F18" s="4" t="inlineStr">
        <is>
          <t>Female</t>
        </is>
      </c>
      <c r="G18" s="5" t="n">
        <v>29</v>
      </c>
      <c r="H18" s="4">
        <f>IF(G18&gt;=60, "Boomer", IF(G18&gt;=45, "Gen X", IF(G18&gt;=25, "Millennial", "Gen Z")))</f>
        <v/>
      </c>
      <c r="I18" s="4" t="inlineStr">
        <is>
          <t>Checking</t>
        </is>
      </c>
      <c r="J18" s="4" t="inlineStr">
        <is>
          <t>Groceries</t>
        </is>
      </c>
      <c r="K18" s="6" t="n">
        <v>4319.64</v>
      </c>
      <c r="L18" s="6" t="n">
        <v>39042.01</v>
      </c>
      <c r="M18" s="4" t="inlineStr">
        <is>
          <t>Mobile App</t>
        </is>
      </c>
      <c r="N18" s="4" t="inlineStr">
        <is>
          <t>N</t>
        </is>
      </c>
      <c r="O18" s="4">
        <f>TEXT(D18, "dddd")</f>
        <v/>
      </c>
      <c r="P18" s="4">
        <f>"Q"&amp;ROUNDUP(MONTH(D18)/3, 0)</f>
        <v/>
      </c>
    </row>
    <row r="19">
      <c r="A19" s="7" t="inlineStr">
        <is>
          <t>TXN100020</t>
        </is>
      </c>
      <c r="B19" s="7" t="inlineStr">
        <is>
          <t>CUST0020</t>
        </is>
      </c>
      <c r="C19" s="7" t="inlineStr">
        <is>
          <t>2026-06-01 19:20:00</t>
        </is>
      </c>
      <c r="D19" s="7">
        <f>TEXT(LEFT(C19,10),"YYYY-MM-DD")</f>
        <v/>
      </c>
      <c r="E19" s="8">
        <f>HOUR(C19)</f>
        <v/>
      </c>
      <c r="F19" s="7" t="inlineStr">
        <is>
          <t>Unspecified</t>
        </is>
      </c>
      <c r="G19" s="8" t="n">
        <v>21</v>
      </c>
      <c r="H19" s="7">
        <f>IF(G19&gt;=60, "Boomer", IF(G19&gt;=45, "Gen X", IF(G19&gt;=25, "Millennial", "Gen Z")))</f>
        <v/>
      </c>
      <c r="I19" s="7" t="inlineStr">
        <is>
          <t>Savings</t>
        </is>
      </c>
      <c r="J19" s="7" t="inlineStr">
        <is>
          <t>Entertainment</t>
        </is>
      </c>
      <c r="K19" s="9" t="n">
        <v>7030.99</v>
      </c>
      <c r="L19" s="9" t="n">
        <v>41667.44</v>
      </c>
      <c r="M19" s="7" t="inlineStr">
        <is>
          <t>Branch Office</t>
        </is>
      </c>
      <c r="N19" s="7" t="inlineStr">
        <is>
          <t>N</t>
        </is>
      </c>
      <c r="O19" s="7">
        <f>TEXT(D19, "dddd")</f>
        <v/>
      </c>
      <c r="P19" s="7">
        <f>"Q"&amp;ROUNDUP(MONTH(D19)/3, 0)</f>
        <v/>
      </c>
    </row>
    <row r="20">
      <c r="A20" s="4" t="inlineStr">
        <is>
          <t>TXN100021</t>
        </is>
      </c>
      <c r="B20" s="4" t="inlineStr">
        <is>
          <t>CUST0021</t>
        </is>
      </c>
      <c r="C20" s="4" t="inlineStr">
        <is>
          <t>2026-06-01 07:56:00</t>
        </is>
      </c>
      <c r="D20" s="4">
        <f>TEXT(LEFT(C20,10),"YYYY-MM-DD")</f>
        <v/>
      </c>
      <c r="E20" s="5">
        <f>HOUR(C20)</f>
        <v/>
      </c>
      <c r="F20" s="4" t="inlineStr">
        <is>
          <t>Male</t>
        </is>
      </c>
      <c r="G20" s="5" t="n">
        <v>25</v>
      </c>
      <c r="H20" s="4">
        <f>IF(G20&gt;=60, "Boomer", IF(G20&gt;=45, "Gen X", IF(G20&gt;=25, "Millennial", "Gen Z")))</f>
        <v/>
      </c>
      <c r="I20" s="4" t="inlineStr">
        <is>
          <t>Investment</t>
        </is>
      </c>
      <c r="J20" s="4" t="inlineStr">
        <is>
          <t>Utilities</t>
        </is>
      </c>
      <c r="K20" s="6" t="n">
        <v>6530.03</v>
      </c>
      <c r="L20" s="6" t="n">
        <v>48910.23</v>
      </c>
      <c r="M20" s="4" t="inlineStr">
        <is>
          <t>Online Banking</t>
        </is>
      </c>
      <c r="N20" s="4" t="inlineStr">
        <is>
          <t>N</t>
        </is>
      </c>
      <c r="O20" s="4">
        <f>TEXT(D20, "dddd")</f>
        <v/>
      </c>
      <c r="P20" s="4">
        <f>"Q"&amp;ROUNDUP(MONTH(D20)/3, 0)</f>
        <v/>
      </c>
    </row>
    <row r="21">
      <c r="A21" s="7" t="inlineStr">
        <is>
          <t>TXN100022</t>
        </is>
      </c>
      <c r="B21" s="7" t="inlineStr">
        <is>
          <t>CUST0022</t>
        </is>
      </c>
      <c r="C21" s="7" t="inlineStr">
        <is>
          <t>2026-06-01 04:42:00</t>
        </is>
      </c>
      <c r="D21" s="7">
        <f>TEXT(LEFT(C21,10),"YYYY-MM-DD")</f>
        <v/>
      </c>
      <c r="E21" s="8">
        <f>HOUR(C21)</f>
        <v/>
      </c>
      <c r="F21" s="7" t="inlineStr">
        <is>
          <t>Unspecified</t>
        </is>
      </c>
      <c r="G21" s="8" t="n">
        <v>55</v>
      </c>
      <c r="H21" s="7">
        <f>IF(G21&gt;=60, "Boomer", IF(G21&gt;=45, "Gen X", IF(G21&gt;=25, "Millennial", "Gen Z")))</f>
        <v/>
      </c>
      <c r="I21" s="7" t="inlineStr">
        <is>
          <t>Savings</t>
        </is>
      </c>
      <c r="J21" s="7" t="inlineStr">
        <is>
          <t>Entertainment</t>
        </is>
      </c>
      <c r="K21" s="9" t="n">
        <v>4226.11</v>
      </c>
      <c r="L21" s="9" t="n">
        <v>30526.4</v>
      </c>
      <c r="M21" s="7" t="inlineStr">
        <is>
          <t>Online Banking</t>
        </is>
      </c>
      <c r="N21" s="7" t="inlineStr">
        <is>
          <t>N</t>
        </is>
      </c>
      <c r="O21" s="7">
        <f>TEXT(D21, "dddd")</f>
        <v/>
      </c>
      <c r="P21" s="7">
        <f>"Q"&amp;ROUNDUP(MONTH(D21)/3, 0)</f>
        <v/>
      </c>
    </row>
    <row r="22">
      <c r="A22" s="4" t="inlineStr">
        <is>
          <t>TXN100023</t>
        </is>
      </c>
      <c r="B22" s="4" t="inlineStr">
        <is>
          <t>CUST0023</t>
        </is>
      </c>
      <c r="C22" s="4" t="inlineStr">
        <is>
          <t>2026-06-01 17:48:00</t>
        </is>
      </c>
      <c r="D22" s="4">
        <f>TEXT(LEFT(C22,10),"YYYY-MM-DD")</f>
        <v/>
      </c>
      <c r="E22" s="5">
        <f>HOUR(C22)</f>
        <v/>
      </c>
      <c r="F22" s="4" t="inlineStr">
        <is>
          <t>Female</t>
        </is>
      </c>
      <c r="G22" s="5" t="n">
        <v>65</v>
      </c>
      <c r="H22" s="4">
        <f>IF(G22&gt;=60, "Boomer", IF(G22&gt;=45, "Gen X", IF(G22&gt;=25, "Millennial", "Gen Z")))</f>
        <v/>
      </c>
      <c r="I22" s="4" t="inlineStr">
        <is>
          <t>Checking</t>
        </is>
      </c>
      <c r="J22" s="4" t="inlineStr">
        <is>
          <t>Utilities</t>
        </is>
      </c>
      <c r="K22" s="6" t="n">
        <v>7961.24</v>
      </c>
      <c r="L22" s="6" t="n">
        <v>32668.96</v>
      </c>
      <c r="M22" s="4" t="inlineStr">
        <is>
          <t>ATM</t>
        </is>
      </c>
      <c r="N22" s="4" t="inlineStr">
        <is>
          <t>Y</t>
        </is>
      </c>
      <c r="O22" s="4">
        <f>TEXT(D22, "dddd")</f>
        <v/>
      </c>
      <c r="P22" s="4">
        <f>"Q"&amp;ROUNDUP(MONTH(D22)/3, 0)</f>
        <v/>
      </c>
    </row>
    <row r="23">
      <c r="A23" s="7" t="inlineStr">
        <is>
          <t>TXN100024</t>
        </is>
      </c>
      <c r="B23" s="7" t="inlineStr">
        <is>
          <t>CUST0024</t>
        </is>
      </c>
      <c r="C23" s="7" t="inlineStr">
        <is>
          <t>2026-06-01 14:07:00</t>
        </is>
      </c>
      <c r="D23" s="7">
        <f>TEXT(LEFT(C23,10),"YYYY-MM-DD")</f>
        <v/>
      </c>
      <c r="E23" s="8">
        <f>HOUR(C23)</f>
        <v/>
      </c>
      <c r="F23" s="7" t="inlineStr">
        <is>
          <t>Female</t>
        </is>
      </c>
      <c r="G23" s="8" t="n">
        <v>34</v>
      </c>
      <c r="H23" s="7">
        <f>IF(G23&gt;=60, "Boomer", IF(G23&gt;=45, "Gen X", IF(G23&gt;=25, "Millennial", "Gen Z")))</f>
        <v/>
      </c>
      <c r="I23" s="7" t="inlineStr">
        <is>
          <t>Savings</t>
        </is>
      </c>
      <c r="J23" s="7" t="inlineStr">
        <is>
          <t>Entertainment</t>
        </is>
      </c>
      <c r="K23" s="9" t="n">
        <v>178.06</v>
      </c>
      <c r="L23" s="9" t="n">
        <v>27919.12</v>
      </c>
      <c r="M23" s="7" t="inlineStr">
        <is>
          <t>Online Banking</t>
        </is>
      </c>
      <c r="N23" s="7" t="inlineStr">
        <is>
          <t>N</t>
        </is>
      </c>
      <c r="O23" s="7">
        <f>TEXT(D23, "dddd")</f>
        <v/>
      </c>
      <c r="P23" s="7">
        <f>"Q"&amp;ROUNDUP(MONTH(D23)/3, 0)</f>
        <v/>
      </c>
    </row>
    <row r="24">
      <c r="A24" s="4" t="inlineStr">
        <is>
          <t>TXN100025</t>
        </is>
      </c>
      <c r="B24" s="4" t="inlineStr">
        <is>
          <t>CUST0025</t>
        </is>
      </c>
      <c r="C24" s="4" t="inlineStr">
        <is>
          <t>2026-06-01 00:04:00</t>
        </is>
      </c>
      <c r="D24" s="4">
        <f>TEXT(LEFT(C24,10),"YYYY-MM-DD")</f>
        <v/>
      </c>
      <c r="E24" s="5">
        <f>HOUR(C24)</f>
        <v/>
      </c>
      <c r="F24" s="4" t="inlineStr">
        <is>
          <t>Male</t>
        </is>
      </c>
      <c r="G24" s="5" t="n">
        <v>34</v>
      </c>
      <c r="H24" s="4">
        <f>IF(G24&gt;=60, "Boomer", IF(G24&gt;=45, "Gen X", IF(G24&gt;=25, "Millennial", "Gen Z")))</f>
        <v/>
      </c>
      <c r="I24" s="4" t="inlineStr">
        <is>
          <t>Savings</t>
        </is>
      </c>
      <c r="J24" s="4" t="inlineStr">
        <is>
          <t>Groceries</t>
        </is>
      </c>
      <c r="K24" s="6" t="n">
        <v>6878.49</v>
      </c>
      <c r="L24" s="6" t="n">
        <v>4007.44</v>
      </c>
      <c r="M24" s="4" t="inlineStr">
        <is>
          <t>Online Banking</t>
        </is>
      </c>
      <c r="N24" s="4" t="inlineStr">
        <is>
          <t>N</t>
        </is>
      </c>
      <c r="O24" s="4">
        <f>TEXT(D24, "dddd")</f>
        <v/>
      </c>
      <c r="P24" s="4">
        <f>"Q"&amp;ROUNDUP(MONTH(D24)/3, 0)</f>
        <v/>
      </c>
    </row>
    <row r="25">
      <c r="A25" s="7" t="inlineStr">
        <is>
          <t>TXN100026</t>
        </is>
      </c>
      <c r="B25" s="7" t="inlineStr">
        <is>
          <t>CUST0026</t>
        </is>
      </c>
      <c r="C25" s="7" t="inlineStr">
        <is>
          <t>2026-06-01 08:42:00</t>
        </is>
      </c>
      <c r="D25" s="7">
        <f>TEXT(LEFT(C25,10),"YYYY-MM-DD")</f>
        <v/>
      </c>
      <c r="E25" s="8">
        <f>HOUR(C25)</f>
        <v/>
      </c>
      <c r="F25" s="7" t="inlineStr">
        <is>
          <t>Unspecified</t>
        </is>
      </c>
      <c r="G25" s="8" t="n">
        <v>33</v>
      </c>
      <c r="H25" s="7">
        <f>IF(G25&gt;=60, "Boomer", IF(G25&gt;=45, "Gen X", IF(G25&gt;=25, "Millennial", "Gen Z")))</f>
        <v/>
      </c>
      <c r="I25" s="7" t="inlineStr">
        <is>
          <t>Investment</t>
        </is>
      </c>
      <c r="J25" s="7" t="inlineStr">
        <is>
          <t>Groceries</t>
        </is>
      </c>
      <c r="K25" s="9" t="n">
        <v>5789.59</v>
      </c>
      <c r="L25" s="9" t="n">
        <v>44177.96</v>
      </c>
      <c r="M25" s="7" t="inlineStr">
        <is>
          <t>ATM</t>
        </is>
      </c>
      <c r="N25" s="7" t="inlineStr">
        <is>
          <t>N</t>
        </is>
      </c>
      <c r="O25" s="7">
        <f>TEXT(D25, "dddd")</f>
        <v/>
      </c>
      <c r="P25" s="7">
        <f>"Q"&amp;ROUNDUP(MONTH(D25)/3, 0)</f>
        <v/>
      </c>
    </row>
    <row r="26">
      <c r="A26" s="4" t="inlineStr">
        <is>
          <t>TXN100027</t>
        </is>
      </c>
      <c r="B26" s="4" t="inlineStr">
        <is>
          <t>CUST0027</t>
        </is>
      </c>
      <c r="C26" s="4" t="inlineStr">
        <is>
          <t>2026-06-01 07:50:00</t>
        </is>
      </c>
      <c r="D26" s="4">
        <f>TEXT(LEFT(C26,10),"YYYY-MM-DD")</f>
        <v/>
      </c>
      <c r="E26" s="5">
        <f>HOUR(C26)</f>
        <v/>
      </c>
      <c r="F26" s="4" t="inlineStr">
        <is>
          <t>Unspecified</t>
        </is>
      </c>
      <c r="G26" s="5" t="n">
        <v>71</v>
      </c>
      <c r="H26" s="4">
        <f>IF(G26&gt;=60, "Boomer", IF(G26&gt;=45, "Gen X", IF(G26&gt;=25, "Millennial", "Gen Z")))</f>
        <v/>
      </c>
      <c r="I26" s="4" t="inlineStr">
        <is>
          <t>Checking</t>
        </is>
      </c>
      <c r="J26" s="4" t="inlineStr">
        <is>
          <t>Groceries</t>
        </is>
      </c>
      <c r="K26" s="6" t="n">
        <v>763.66</v>
      </c>
      <c r="L26" s="6" t="n">
        <v>33119.65</v>
      </c>
      <c r="M26" s="4" t="inlineStr">
        <is>
          <t>Branch Office</t>
        </is>
      </c>
      <c r="N26" s="4" t="inlineStr">
        <is>
          <t>N</t>
        </is>
      </c>
      <c r="O26" s="4">
        <f>TEXT(D26, "dddd")</f>
        <v/>
      </c>
      <c r="P26" s="4">
        <f>"Q"&amp;ROUNDUP(MONTH(D26)/3, 0)</f>
        <v/>
      </c>
    </row>
    <row r="27">
      <c r="A27" s="7" t="inlineStr">
        <is>
          <t>TXN100028</t>
        </is>
      </c>
      <c r="B27" s="7" t="inlineStr">
        <is>
          <t>CUST0028</t>
        </is>
      </c>
      <c r="C27" s="7" t="inlineStr">
        <is>
          <t>2026-06-01 13:26:00</t>
        </is>
      </c>
      <c r="D27" s="7">
        <f>TEXT(LEFT(C27,10),"YYYY-MM-DD")</f>
        <v/>
      </c>
      <c r="E27" s="8">
        <f>HOUR(C27)</f>
        <v/>
      </c>
      <c r="F27" s="7" t="inlineStr">
        <is>
          <t>Unspecified</t>
        </is>
      </c>
      <c r="G27" s="8" t="n">
        <v>75</v>
      </c>
      <c r="H27" s="7">
        <f>IF(G27&gt;=60, "Boomer", IF(G27&gt;=45, "Gen X", IF(G27&gt;=25, "Millennial", "Gen Z")))</f>
        <v/>
      </c>
      <c r="I27" s="7" t="inlineStr">
        <is>
          <t>Investment</t>
        </is>
      </c>
      <c r="J27" s="7" t="inlineStr">
        <is>
          <t>Groceries</t>
        </is>
      </c>
      <c r="K27" s="9" t="n">
        <v>5390.18</v>
      </c>
      <c r="L27" s="9" t="n">
        <v>49216.18</v>
      </c>
      <c r="M27" s="7" t="inlineStr">
        <is>
          <t>Mobile App</t>
        </is>
      </c>
      <c r="N27" s="7" t="inlineStr">
        <is>
          <t>N</t>
        </is>
      </c>
      <c r="O27" s="7">
        <f>TEXT(D27, "dddd")</f>
        <v/>
      </c>
      <c r="P27" s="7">
        <f>"Q"&amp;ROUNDUP(MONTH(D27)/3, 0)</f>
        <v/>
      </c>
    </row>
    <row r="28">
      <c r="A28" s="4" t="inlineStr">
        <is>
          <t>TXN100029</t>
        </is>
      </c>
      <c r="B28" s="4" t="inlineStr">
        <is>
          <t>CUST0029</t>
        </is>
      </c>
      <c r="C28" s="4" t="inlineStr">
        <is>
          <t>2026-06-01 01:25:00</t>
        </is>
      </c>
      <c r="D28" s="4">
        <f>TEXT(LEFT(C28,10),"YYYY-MM-DD")</f>
        <v/>
      </c>
      <c r="E28" s="5">
        <f>HOUR(C28)</f>
        <v/>
      </c>
      <c r="F28" s="4" t="inlineStr">
        <is>
          <t>Female</t>
        </is>
      </c>
      <c r="G28" s="5" t="n">
        <v>71</v>
      </c>
      <c r="H28" s="4">
        <f>IF(G28&gt;=60, "Boomer", IF(G28&gt;=45, "Gen X", IF(G28&gt;=25, "Millennial", "Gen Z")))</f>
        <v/>
      </c>
      <c r="I28" s="4" t="inlineStr">
        <is>
          <t>Savings</t>
        </is>
      </c>
      <c r="J28" s="4" t="inlineStr">
        <is>
          <t>Groceries</t>
        </is>
      </c>
      <c r="K28" s="6" t="n">
        <v>1540.8</v>
      </c>
      <c r="L28" s="6" t="n">
        <v>27046.14</v>
      </c>
      <c r="M28" s="4" t="inlineStr">
        <is>
          <t>Online Banking</t>
        </is>
      </c>
      <c r="N28" s="4" t="inlineStr">
        <is>
          <t>N</t>
        </is>
      </c>
      <c r="O28" s="4">
        <f>TEXT(D28, "dddd")</f>
        <v/>
      </c>
      <c r="P28" s="4">
        <f>"Q"&amp;ROUNDUP(MONTH(D28)/3, 0)</f>
        <v/>
      </c>
    </row>
    <row r="29">
      <c r="A29" s="7" t="inlineStr">
        <is>
          <t>TXN100030</t>
        </is>
      </c>
      <c r="B29" s="7" t="inlineStr">
        <is>
          <t>CUST0030</t>
        </is>
      </c>
      <c r="C29" s="7" t="inlineStr">
        <is>
          <t>2026-06-01 13:11:00</t>
        </is>
      </c>
      <c r="D29" s="7">
        <f>TEXT(LEFT(C29,10),"YYYY-MM-DD")</f>
        <v/>
      </c>
      <c r="E29" s="8">
        <f>HOUR(C29)</f>
        <v/>
      </c>
      <c r="F29" s="7" t="inlineStr">
        <is>
          <t>Female</t>
        </is>
      </c>
      <c r="G29" s="8" t="n">
        <v>49</v>
      </c>
      <c r="H29" s="7">
        <f>IF(G29&gt;=60, "Boomer", IF(G29&gt;=45, "Gen X", IF(G29&gt;=25, "Millennial", "Gen Z")))</f>
        <v/>
      </c>
      <c r="I29" s="7" t="inlineStr">
        <is>
          <t>Savings</t>
        </is>
      </c>
      <c r="J29" s="7" t="inlineStr">
        <is>
          <t>Groceries</t>
        </is>
      </c>
      <c r="K29" s="9" t="n">
        <v>3550.61</v>
      </c>
      <c r="L29" s="9" t="n">
        <v>43136.78</v>
      </c>
      <c r="M29" s="7" t="inlineStr">
        <is>
          <t>Mobile App</t>
        </is>
      </c>
      <c r="N29" s="7" t="inlineStr">
        <is>
          <t>N</t>
        </is>
      </c>
      <c r="O29" s="7">
        <f>TEXT(D29, "dddd")</f>
        <v/>
      </c>
      <c r="P29" s="7">
        <f>"Q"&amp;ROUNDUP(MONTH(D29)/3, 0)</f>
        <v/>
      </c>
    </row>
    <row r="30">
      <c r="A30" s="4" t="inlineStr">
        <is>
          <t>TXN100031</t>
        </is>
      </c>
      <c r="B30" s="4" t="inlineStr">
        <is>
          <t>CUST0031</t>
        </is>
      </c>
      <c r="C30" s="4" t="inlineStr">
        <is>
          <t>2026-06-01 01:41:00</t>
        </is>
      </c>
      <c r="D30" s="4">
        <f>TEXT(LEFT(C30,10),"YYYY-MM-DD")</f>
        <v/>
      </c>
      <c r="E30" s="5">
        <f>HOUR(C30)</f>
        <v/>
      </c>
      <c r="F30" s="4" t="inlineStr">
        <is>
          <t>Male</t>
        </is>
      </c>
      <c r="G30" s="5" t="n">
        <v>25</v>
      </c>
      <c r="H30" s="4">
        <f>IF(G30&gt;=60, "Boomer", IF(G30&gt;=45, "Gen X", IF(G30&gt;=25, "Millennial", "Gen Z")))</f>
        <v/>
      </c>
      <c r="I30" s="4" t="inlineStr">
        <is>
          <t>Savings</t>
        </is>
      </c>
      <c r="J30" s="4" t="inlineStr">
        <is>
          <t>Groceries</t>
        </is>
      </c>
      <c r="K30" s="6" t="n">
        <v>3257.25</v>
      </c>
      <c r="L30" s="6" t="n">
        <v>24327.24</v>
      </c>
      <c r="M30" s="4" t="inlineStr">
        <is>
          <t>ATM</t>
        </is>
      </c>
      <c r="N30" s="4" t="inlineStr">
        <is>
          <t>N</t>
        </is>
      </c>
      <c r="O30" s="4">
        <f>TEXT(D30, "dddd")</f>
        <v/>
      </c>
      <c r="P30" s="4">
        <f>"Q"&amp;ROUNDUP(MONTH(D30)/3, 0)</f>
        <v/>
      </c>
    </row>
    <row r="31">
      <c r="A31" s="7" t="inlineStr">
        <is>
          <t>TXN100032</t>
        </is>
      </c>
      <c r="B31" s="7" t="inlineStr">
        <is>
          <t>CUST0032</t>
        </is>
      </c>
      <c r="C31" s="7" t="inlineStr">
        <is>
          <t>2026-06-01 01:10:00</t>
        </is>
      </c>
      <c r="D31" s="7">
        <f>TEXT(LEFT(C31,10),"YYYY-MM-DD")</f>
        <v/>
      </c>
      <c r="E31" s="8">
        <f>HOUR(C31)</f>
        <v/>
      </c>
      <c r="F31" s="7" t="inlineStr">
        <is>
          <t>Unspecified</t>
        </is>
      </c>
      <c r="G31" s="8" t="n">
        <v>47</v>
      </c>
      <c r="H31" s="7">
        <f>IF(G31&gt;=60, "Boomer", IF(G31&gt;=45, "Gen X", IF(G31&gt;=25, "Millennial", "Gen Z")))</f>
        <v/>
      </c>
      <c r="I31" s="7" t="inlineStr">
        <is>
          <t>Checking</t>
        </is>
      </c>
      <c r="J31" s="7" t="inlineStr">
        <is>
          <t>Entertainment</t>
        </is>
      </c>
      <c r="K31" s="9" t="n">
        <v>7412.88</v>
      </c>
      <c r="L31" s="9" t="n">
        <v>39363.9</v>
      </c>
      <c r="M31" s="7" t="inlineStr">
        <is>
          <t>Branch Office</t>
        </is>
      </c>
      <c r="N31" s="7" t="inlineStr">
        <is>
          <t>N</t>
        </is>
      </c>
      <c r="O31" s="7">
        <f>TEXT(D31, "dddd")</f>
        <v/>
      </c>
      <c r="P31" s="7">
        <f>"Q"&amp;ROUNDUP(MONTH(D31)/3, 0)</f>
        <v/>
      </c>
    </row>
    <row r="32">
      <c r="A32" s="4" t="inlineStr">
        <is>
          <t>TXN100033</t>
        </is>
      </c>
      <c r="B32" s="4" t="inlineStr">
        <is>
          <t>CUST0033</t>
        </is>
      </c>
      <c r="C32" s="4" t="inlineStr">
        <is>
          <t>2026-06-01 23:50:00</t>
        </is>
      </c>
      <c r="D32" s="4">
        <f>TEXT(LEFT(C32,10),"YYYY-MM-DD")</f>
        <v/>
      </c>
      <c r="E32" s="5">
        <f>HOUR(C32)</f>
        <v/>
      </c>
      <c r="F32" s="4" t="inlineStr">
        <is>
          <t>Unspecified</t>
        </is>
      </c>
      <c r="G32" s="5" t="n">
        <v>29</v>
      </c>
      <c r="H32" s="4">
        <f>IF(G32&gt;=60, "Boomer", IF(G32&gt;=45, "Gen X", IF(G32&gt;=25, "Millennial", "Gen Z")))</f>
        <v/>
      </c>
      <c r="I32" s="4" t="inlineStr">
        <is>
          <t>Savings</t>
        </is>
      </c>
      <c r="J32" s="4" t="inlineStr">
        <is>
          <t>Entertainment</t>
        </is>
      </c>
      <c r="K32" s="6" t="n">
        <v>1749.43</v>
      </c>
      <c r="L32" s="6" t="n">
        <v>3394.92</v>
      </c>
      <c r="M32" s="4" t="inlineStr">
        <is>
          <t>Mobile App</t>
        </is>
      </c>
      <c r="N32" s="4" t="inlineStr">
        <is>
          <t>N</t>
        </is>
      </c>
      <c r="O32" s="4">
        <f>TEXT(D32, "dddd")</f>
        <v/>
      </c>
      <c r="P32" s="4">
        <f>"Q"&amp;ROUNDUP(MONTH(D32)/3, 0)</f>
        <v/>
      </c>
    </row>
    <row r="33">
      <c r="A33" s="7" t="inlineStr">
        <is>
          <t>TXN100034</t>
        </is>
      </c>
      <c r="B33" s="7" t="inlineStr">
        <is>
          <t>CUST0034</t>
        </is>
      </c>
      <c r="C33" s="7" t="inlineStr">
        <is>
          <t>2026-06-01 23:20:00</t>
        </is>
      </c>
      <c r="D33" s="7">
        <f>TEXT(LEFT(C33,10),"YYYY-MM-DD")</f>
        <v/>
      </c>
      <c r="E33" s="8">
        <f>HOUR(C33)</f>
        <v/>
      </c>
      <c r="F33" s="7" t="inlineStr">
        <is>
          <t>Male</t>
        </is>
      </c>
      <c r="G33" s="8" t="n">
        <v>23</v>
      </c>
      <c r="H33" s="7">
        <f>IF(G33&gt;=60, "Boomer", IF(G33&gt;=45, "Gen X", IF(G33&gt;=25, "Millennial", "Gen Z")))</f>
        <v/>
      </c>
      <c r="I33" s="7" t="inlineStr">
        <is>
          <t>Investment</t>
        </is>
      </c>
      <c r="J33" s="7" t="inlineStr">
        <is>
          <t>Utilities</t>
        </is>
      </c>
      <c r="K33" s="9" t="n">
        <v>4027.77</v>
      </c>
      <c r="L33" s="9" t="n">
        <v>42709.63</v>
      </c>
      <c r="M33" s="7" t="inlineStr">
        <is>
          <t>Online Banking</t>
        </is>
      </c>
      <c r="N33" s="7" t="inlineStr">
        <is>
          <t>N</t>
        </is>
      </c>
      <c r="O33" s="7">
        <f>TEXT(D33, "dddd")</f>
        <v/>
      </c>
      <c r="P33" s="7">
        <f>"Q"&amp;ROUNDUP(MONTH(D33)/3, 0)</f>
        <v/>
      </c>
    </row>
    <row r="34">
      <c r="A34" s="4" t="inlineStr">
        <is>
          <t>TXN100035</t>
        </is>
      </c>
      <c r="B34" s="4" t="inlineStr">
        <is>
          <t>CUST0035</t>
        </is>
      </c>
      <c r="C34" s="4" t="inlineStr">
        <is>
          <t>2026-06-01 01:32:00</t>
        </is>
      </c>
      <c r="D34" s="4">
        <f>TEXT(LEFT(C34,10),"YYYY-MM-DD")</f>
        <v/>
      </c>
      <c r="E34" s="5">
        <f>HOUR(C34)</f>
        <v/>
      </c>
      <c r="F34" s="4" t="inlineStr">
        <is>
          <t>Male</t>
        </is>
      </c>
      <c r="G34" s="5" t="n">
        <v>74</v>
      </c>
      <c r="H34" s="4">
        <f>IF(G34&gt;=60, "Boomer", IF(G34&gt;=45, "Gen X", IF(G34&gt;=25, "Millennial", "Gen Z")))</f>
        <v/>
      </c>
      <c r="I34" s="4" t="inlineStr">
        <is>
          <t>Savings</t>
        </is>
      </c>
      <c r="J34" s="4" t="inlineStr">
        <is>
          <t>Groceries</t>
        </is>
      </c>
      <c r="K34" s="6" t="n">
        <v>4764.33</v>
      </c>
      <c r="L34" s="6" t="n">
        <v>33923.02</v>
      </c>
      <c r="M34" s="4" t="inlineStr">
        <is>
          <t>Online Banking</t>
        </is>
      </c>
      <c r="N34" s="4" t="inlineStr">
        <is>
          <t>N</t>
        </is>
      </c>
      <c r="O34" s="4">
        <f>TEXT(D34, "dddd")</f>
        <v/>
      </c>
      <c r="P34" s="4">
        <f>"Q"&amp;ROUNDUP(MONTH(D34)/3, 0)</f>
        <v/>
      </c>
    </row>
    <row r="35">
      <c r="A35" s="7" t="inlineStr">
        <is>
          <t>TXN100036</t>
        </is>
      </c>
      <c r="B35" s="7" t="inlineStr">
        <is>
          <t>CUST0036</t>
        </is>
      </c>
      <c r="C35" s="7" t="inlineStr">
        <is>
          <t>2026-06-01 12:07:00</t>
        </is>
      </c>
      <c r="D35" s="7">
        <f>TEXT(LEFT(C35,10),"YYYY-MM-DD")</f>
        <v/>
      </c>
      <c r="E35" s="8">
        <f>HOUR(C35)</f>
        <v/>
      </c>
      <c r="F35" s="7" t="inlineStr">
        <is>
          <t>Female</t>
        </is>
      </c>
      <c r="G35" s="8" t="n">
        <v>57</v>
      </c>
      <c r="H35" s="7">
        <f>IF(G35&gt;=60, "Boomer", IF(G35&gt;=45, "Gen X", IF(G35&gt;=25, "Millennial", "Gen Z")))</f>
        <v/>
      </c>
      <c r="I35" s="7" t="inlineStr">
        <is>
          <t>Investment</t>
        </is>
      </c>
      <c r="J35" s="7" t="inlineStr">
        <is>
          <t>Groceries</t>
        </is>
      </c>
      <c r="K35" s="9" t="n">
        <v>4958.86</v>
      </c>
      <c r="L35" s="9" t="n">
        <v>21251.63</v>
      </c>
      <c r="M35" s="7" t="inlineStr">
        <is>
          <t>Branch Office</t>
        </is>
      </c>
      <c r="N35" s="7" t="inlineStr">
        <is>
          <t>N</t>
        </is>
      </c>
      <c r="O35" s="7">
        <f>TEXT(D35, "dddd")</f>
        <v/>
      </c>
      <c r="P35" s="7">
        <f>"Q"&amp;ROUNDUP(MONTH(D35)/3, 0)</f>
        <v/>
      </c>
    </row>
    <row r="36">
      <c r="A36" s="4" t="inlineStr">
        <is>
          <t>TXN100037</t>
        </is>
      </c>
      <c r="B36" s="4" t="inlineStr">
        <is>
          <t>CUST0037</t>
        </is>
      </c>
      <c r="C36" s="4" t="inlineStr">
        <is>
          <t>2026-06-01 08:13:00</t>
        </is>
      </c>
      <c r="D36" s="4">
        <f>TEXT(LEFT(C36,10),"YYYY-MM-DD")</f>
        <v/>
      </c>
      <c r="E36" s="5">
        <f>HOUR(C36)</f>
        <v/>
      </c>
      <c r="F36" s="4" t="inlineStr">
        <is>
          <t>Female</t>
        </is>
      </c>
      <c r="G36" s="5" t="n">
        <v>35</v>
      </c>
      <c r="H36" s="4">
        <f>IF(G36&gt;=60, "Boomer", IF(G36&gt;=45, "Gen X", IF(G36&gt;=25, "Millennial", "Gen Z")))</f>
        <v/>
      </c>
      <c r="I36" s="4" t="inlineStr">
        <is>
          <t>Checking</t>
        </is>
      </c>
      <c r="J36" s="4" t="inlineStr">
        <is>
          <t>Utilities</t>
        </is>
      </c>
      <c r="K36" s="6" t="n">
        <v>1055.72</v>
      </c>
      <c r="L36" s="6" t="n">
        <v>32452.29</v>
      </c>
      <c r="M36" s="4" t="inlineStr">
        <is>
          <t>ATM</t>
        </is>
      </c>
      <c r="N36" s="4" t="inlineStr">
        <is>
          <t>N</t>
        </is>
      </c>
      <c r="O36" s="4">
        <f>TEXT(D36, "dddd")</f>
        <v/>
      </c>
      <c r="P36" s="4">
        <f>"Q"&amp;ROUNDUP(MONTH(D36)/3, 0)</f>
        <v/>
      </c>
    </row>
    <row r="37">
      <c r="A37" s="7" t="inlineStr">
        <is>
          <t>TXN100038</t>
        </is>
      </c>
      <c r="B37" s="7" t="inlineStr">
        <is>
          <t>CUST0038</t>
        </is>
      </c>
      <c r="C37" s="7" t="inlineStr">
        <is>
          <t>2026-06-01 10:59:00</t>
        </is>
      </c>
      <c r="D37" s="7">
        <f>TEXT(LEFT(C37,10),"YYYY-MM-DD")</f>
        <v/>
      </c>
      <c r="E37" s="8">
        <f>HOUR(C37)</f>
        <v/>
      </c>
      <c r="F37" s="7" t="inlineStr">
        <is>
          <t>Male</t>
        </is>
      </c>
      <c r="G37" s="8" t="n">
        <v>20</v>
      </c>
      <c r="H37" s="7">
        <f>IF(G37&gt;=60, "Boomer", IF(G37&gt;=45, "Gen X", IF(G37&gt;=25, "Millennial", "Gen Z")))</f>
        <v/>
      </c>
      <c r="I37" s="7" t="inlineStr">
        <is>
          <t>Checking</t>
        </is>
      </c>
      <c r="J37" s="7" t="inlineStr">
        <is>
          <t>Travel</t>
        </is>
      </c>
      <c r="K37" s="9" t="n">
        <v>7987.65</v>
      </c>
      <c r="L37" s="9" t="n">
        <v>49806.77</v>
      </c>
      <c r="M37" s="7" t="inlineStr">
        <is>
          <t>Mobile App</t>
        </is>
      </c>
      <c r="N37" s="7" t="inlineStr">
        <is>
          <t>Y</t>
        </is>
      </c>
      <c r="O37" s="7">
        <f>TEXT(D37, "dddd")</f>
        <v/>
      </c>
      <c r="P37" s="7">
        <f>"Q"&amp;ROUNDUP(MONTH(D37)/3, 0)</f>
        <v/>
      </c>
    </row>
    <row r="38">
      <c r="A38" s="4" t="inlineStr">
        <is>
          <t>TXN100039</t>
        </is>
      </c>
      <c r="B38" s="4" t="inlineStr">
        <is>
          <t>CUST0039</t>
        </is>
      </c>
      <c r="C38" s="4" t="inlineStr">
        <is>
          <t>2026-06-01 16:16:00</t>
        </is>
      </c>
      <c r="D38" s="4">
        <f>TEXT(LEFT(C38,10),"YYYY-MM-DD")</f>
        <v/>
      </c>
      <c r="E38" s="5">
        <f>HOUR(C38)</f>
        <v/>
      </c>
      <c r="F38" s="4" t="inlineStr">
        <is>
          <t>Male</t>
        </is>
      </c>
      <c r="G38" s="5" t="n">
        <v>42</v>
      </c>
      <c r="H38" s="4">
        <f>IF(G38&gt;=60, "Boomer", IF(G38&gt;=45, "Gen X", IF(G38&gt;=25, "Millennial", "Gen Z")))</f>
        <v/>
      </c>
      <c r="I38" s="4" t="inlineStr">
        <is>
          <t>Savings</t>
        </is>
      </c>
      <c r="J38" s="4" t="inlineStr">
        <is>
          <t>Groceries</t>
        </is>
      </c>
      <c r="K38" s="6" t="n">
        <v>2962.52</v>
      </c>
      <c r="L38" s="6" t="n">
        <v>8308.469999999999</v>
      </c>
      <c r="M38" s="4" t="inlineStr">
        <is>
          <t>Branch Office</t>
        </is>
      </c>
      <c r="N38" s="4" t="inlineStr">
        <is>
          <t>N</t>
        </is>
      </c>
      <c r="O38" s="4">
        <f>TEXT(D38, "dddd")</f>
        <v/>
      </c>
      <c r="P38" s="4">
        <f>"Q"&amp;ROUNDUP(MONTH(D38)/3, 0)</f>
        <v/>
      </c>
    </row>
    <row r="39">
      <c r="A39" s="7" t="inlineStr">
        <is>
          <t>TXN100040</t>
        </is>
      </c>
      <c r="B39" s="7" t="inlineStr">
        <is>
          <t>CUST0040</t>
        </is>
      </c>
      <c r="C39" s="7" t="inlineStr">
        <is>
          <t>2026-06-01 19:51:00</t>
        </is>
      </c>
      <c r="D39" s="7">
        <f>TEXT(LEFT(C39,10),"YYYY-MM-DD")</f>
        <v/>
      </c>
      <c r="E39" s="8">
        <f>HOUR(C39)</f>
        <v/>
      </c>
      <c r="F39" s="7" t="inlineStr">
        <is>
          <t>Male</t>
        </is>
      </c>
      <c r="G39" s="8" t="n">
        <v>62</v>
      </c>
      <c r="H39" s="7">
        <f>IF(G39&gt;=60, "Boomer", IF(G39&gt;=45, "Gen X", IF(G39&gt;=25, "Millennial", "Gen Z")))</f>
        <v/>
      </c>
      <c r="I39" s="7" t="inlineStr">
        <is>
          <t>Investment</t>
        </is>
      </c>
      <c r="J39" s="7" t="inlineStr">
        <is>
          <t>Entertainment</t>
        </is>
      </c>
      <c r="K39" s="9" t="n">
        <v>7454.73</v>
      </c>
      <c r="L39" s="9" t="n">
        <v>5627.53</v>
      </c>
      <c r="M39" s="7" t="inlineStr">
        <is>
          <t>Online Banking</t>
        </is>
      </c>
      <c r="N39" s="7" t="inlineStr">
        <is>
          <t>N</t>
        </is>
      </c>
      <c r="O39" s="7">
        <f>TEXT(D39, "dddd")</f>
        <v/>
      </c>
      <c r="P39" s="7">
        <f>"Q"&amp;ROUNDUP(MONTH(D39)/3, 0)</f>
        <v/>
      </c>
    </row>
    <row r="40">
      <c r="A40" s="4" t="inlineStr">
        <is>
          <t>TXN100041</t>
        </is>
      </c>
      <c r="B40" s="4" t="inlineStr">
        <is>
          <t>CUST0041</t>
        </is>
      </c>
      <c r="C40" s="4" t="inlineStr">
        <is>
          <t>2026-06-01 03:47:00</t>
        </is>
      </c>
      <c r="D40" s="4">
        <f>TEXT(LEFT(C40,10),"YYYY-MM-DD")</f>
        <v/>
      </c>
      <c r="E40" s="5">
        <f>HOUR(C40)</f>
        <v/>
      </c>
      <c r="F40" s="4" t="inlineStr">
        <is>
          <t>Male</t>
        </is>
      </c>
      <c r="G40" s="5" t="n">
        <v>37</v>
      </c>
      <c r="H40" s="4">
        <f>IF(G40&gt;=60, "Boomer", IF(G40&gt;=45, "Gen X", IF(G40&gt;=25, "Millennial", "Gen Z")))</f>
        <v/>
      </c>
      <c r="I40" s="4" t="inlineStr">
        <is>
          <t>Checking</t>
        </is>
      </c>
      <c r="J40" s="4" t="inlineStr">
        <is>
          <t>Travel</t>
        </is>
      </c>
      <c r="K40" s="6" t="n">
        <v>3985.5</v>
      </c>
      <c r="L40" s="6" t="n">
        <v>17472.57</v>
      </c>
      <c r="M40" s="4" t="inlineStr">
        <is>
          <t>Branch Office</t>
        </is>
      </c>
      <c r="N40" s="4" t="inlineStr">
        <is>
          <t>N</t>
        </is>
      </c>
      <c r="O40" s="4">
        <f>TEXT(D40, "dddd")</f>
        <v/>
      </c>
      <c r="P40" s="4">
        <f>"Q"&amp;ROUNDUP(MONTH(D40)/3, 0)</f>
        <v/>
      </c>
    </row>
    <row r="41">
      <c r="A41" s="7" t="inlineStr">
        <is>
          <t>TXN100043</t>
        </is>
      </c>
      <c r="B41" s="7" t="inlineStr">
        <is>
          <t>CUST0043</t>
        </is>
      </c>
      <c r="C41" s="7" t="inlineStr">
        <is>
          <t>2026-06-01 16:31:00</t>
        </is>
      </c>
      <c r="D41" s="7">
        <f>TEXT(LEFT(C41,10),"YYYY-MM-DD")</f>
        <v/>
      </c>
      <c r="E41" s="8">
        <f>HOUR(C41)</f>
        <v/>
      </c>
      <c r="F41" s="7" t="inlineStr">
        <is>
          <t>Female</t>
        </is>
      </c>
      <c r="G41" s="8" t="n">
        <v>74</v>
      </c>
      <c r="H41" s="7">
        <f>IF(G41&gt;=60, "Boomer", IF(G41&gt;=45, "Gen X", IF(G41&gt;=25, "Millennial", "Gen Z")))</f>
        <v/>
      </c>
      <c r="I41" s="7" t="inlineStr">
        <is>
          <t>Savings</t>
        </is>
      </c>
      <c r="J41" s="7" t="inlineStr">
        <is>
          <t>Groceries</t>
        </is>
      </c>
      <c r="K41" s="9" t="n">
        <v>5077.93</v>
      </c>
      <c r="L41" s="9" t="n">
        <v>41552.73</v>
      </c>
      <c r="M41" s="7" t="inlineStr">
        <is>
          <t>Mobile App</t>
        </is>
      </c>
      <c r="N41" s="7" t="inlineStr">
        <is>
          <t>N</t>
        </is>
      </c>
      <c r="O41" s="7">
        <f>TEXT(D41, "dddd")</f>
        <v/>
      </c>
      <c r="P41" s="7">
        <f>"Q"&amp;ROUNDUP(MONTH(D41)/3, 0)</f>
        <v/>
      </c>
    </row>
    <row r="42">
      <c r="A42" s="4" t="inlineStr">
        <is>
          <t>TXN100044</t>
        </is>
      </c>
      <c r="B42" s="4" t="inlineStr">
        <is>
          <t>CUST0044</t>
        </is>
      </c>
      <c r="C42" s="4" t="inlineStr">
        <is>
          <t>2026-06-01 00:21:00</t>
        </is>
      </c>
      <c r="D42" s="4">
        <f>TEXT(LEFT(C42,10),"YYYY-MM-DD")</f>
        <v/>
      </c>
      <c r="E42" s="5">
        <f>HOUR(C42)</f>
        <v/>
      </c>
      <c r="F42" s="4" t="inlineStr">
        <is>
          <t>Male</t>
        </is>
      </c>
      <c r="G42" s="5" t="n">
        <v>60</v>
      </c>
      <c r="H42" s="4">
        <f>IF(G42&gt;=60, "Boomer", IF(G42&gt;=45, "Gen X", IF(G42&gt;=25, "Millennial", "Gen Z")))</f>
        <v/>
      </c>
      <c r="I42" s="4" t="inlineStr">
        <is>
          <t>Checking</t>
        </is>
      </c>
      <c r="J42" s="4" t="inlineStr">
        <is>
          <t>Groceries</t>
        </is>
      </c>
      <c r="K42" s="6" t="n">
        <v>5932.43</v>
      </c>
      <c r="L42" s="6" t="n">
        <v>27808.18</v>
      </c>
      <c r="M42" s="4" t="inlineStr">
        <is>
          <t>ATM</t>
        </is>
      </c>
      <c r="N42" s="4" t="inlineStr">
        <is>
          <t>N</t>
        </is>
      </c>
      <c r="O42" s="4">
        <f>TEXT(D42, "dddd")</f>
        <v/>
      </c>
      <c r="P42" s="4">
        <f>"Q"&amp;ROUNDUP(MONTH(D42)/3, 0)</f>
        <v/>
      </c>
    </row>
    <row r="43">
      <c r="A43" s="7" t="inlineStr">
        <is>
          <t>TXN100045</t>
        </is>
      </c>
      <c r="B43" s="7" t="inlineStr">
        <is>
          <t>CUST0045</t>
        </is>
      </c>
      <c r="C43" s="7" t="inlineStr">
        <is>
          <t>2026-06-01 17:00:00</t>
        </is>
      </c>
      <c r="D43" s="7">
        <f>TEXT(LEFT(C43,10),"YYYY-MM-DD")</f>
        <v/>
      </c>
      <c r="E43" s="8">
        <f>HOUR(C43)</f>
        <v/>
      </c>
      <c r="F43" s="7" t="inlineStr">
        <is>
          <t>Male</t>
        </is>
      </c>
      <c r="G43" s="8" t="n">
        <v>24</v>
      </c>
      <c r="H43" s="7">
        <f>IF(G43&gt;=60, "Boomer", IF(G43&gt;=45, "Gen X", IF(G43&gt;=25, "Millennial", "Gen Z")))</f>
        <v/>
      </c>
      <c r="I43" s="7" t="inlineStr">
        <is>
          <t>Investment</t>
        </is>
      </c>
      <c r="J43" s="7" t="inlineStr">
        <is>
          <t>Groceries</t>
        </is>
      </c>
      <c r="K43" s="9" t="n">
        <v>4369.27</v>
      </c>
      <c r="L43" s="9" t="n">
        <v>41812.45</v>
      </c>
      <c r="M43" s="7" t="inlineStr">
        <is>
          <t>Online Banking</t>
        </is>
      </c>
      <c r="N43" s="7" t="inlineStr">
        <is>
          <t>N</t>
        </is>
      </c>
      <c r="O43" s="7">
        <f>TEXT(D43, "dddd")</f>
        <v/>
      </c>
      <c r="P43" s="7">
        <f>"Q"&amp;ROUNDUP(MONTH(D43)/3, 0)</f>
        <v/>
      </c>
    </row>
    <row r="44">
      <c r="A44" s="4" t="inlineStr">
        <is>
          <t>TXN100046</t>
        </is>
      </c>
      <c r="B44" s="4" t="inlineStr">
        <is>
          <t>CUST0046</t>
        </is>
      </c>
      <c r="C44" s="4" t="inlineStr">
        <is>
          <t>2026-06-01 13:08:00</t>
        </is>
      </c>
      <c r="D44" s="4">
        <f>TEXT(LEFT(C44,10),"YYYY-MM-DD")</f>
        <v/>
      </c>
      <c r="E44" s="5">
        <f>HOUR(C44)</f>
        <v/>
      </c>
      <c r="F44" s="4" t="inlineStr">
        <is>
          <t>Male</t>
        </is>
      </c>
      <c r="G44" s="5" t="n">
        <v>39</v>
      </c>
      <c r="H44" s="4">
        <f>IF(G44&gt;=60, "Boomer", IF(G44&gt;=45, "Gen X", IF(G44&gt;=25, "Millennial", "Gen Z")))</f>
        <v/>
      </c>
      <c r="I44" s="4" t="inlineStr">
        <is>
          <t>Checking</t>
        </is>
      </c>
      <c r="J44" s="4" t="inlineStr">
        <is>
          <t>Groceries</t>
        </is>
      </c>
      <c r="K44" s="6" t="n">
        <v>7192.41</v>
      </c>
      <c r="L44" s="6" t="n">
        <v>10898.79</v>
      </c>
      <c r="M44" s="4" t="inlineStr">
        <is>
          <t>Online Banking</t>
        </is>
      </c>
      <c r="N44" s="4" t="inlineStr">
        <is>
          <t>Y</t>
        </is>
      </c>
      <c r="O44" s="4">
        <f>TEXT(D44, "dddd")</f>
        <v/>
      </c>
      <c r="P44" s="4">
        <f>"Q"&amp;ROUNDUP(MONTH(D44)/3, 0)</f>
        <v/>
      </c>
    </row>
    <row r="45">
      <c r="A45" s="7" t="inlineStr">
        <is>
          <t>TXN100047</t>
        </is>
      </c>
      <c r="B45" s="7" t="inlineStr">
        <is>
          <t>CUST0047</t>
        </is>
      </c>
      <c r="C45" s="7" t="inlineStr">
        <is>
          <t>2026-06-01 11:49:00</t>
        </is>
      </c>
      <c r="D45" s="7">
        <f>TEXT(LEFT(C45,10),"YYYY-MM-DD")</f>
        <v/>
      </c>
      <c r="E45" s="8">
        <f>HOUR(C45)</f>
        <v/>
      </c>
      <c r="F45" s="7" t="inlineStr">
        <is>
          <t>Unspecified</t>
        </is>
      </c>
      <c r="G45" s="8" t="n">
        <v>59</v>
      </c>
      <c r="H45" s="7">
        <f>IF(G45&gt;=60, "Boomer", IF(G45&gt;=45, "Gen X", IF(G45&gt;=25, "Millennial", "Gen Z")))</f>
        <v/>
      </c>
      <c r="I45" s="7" t="inlineStr">
        <is>
          <t>Investment</t>
        </is>
      </c>
      <c r="J45" s="7" t="inlineStr">
        <is>
          <t>Groceries</t>
        </is>
      </c>
      <c r="K45" s="9" t="n">
        <v>7406.85</v>
      </c>
      <c r="L45" s="9" t="n">
        <v>12218.5</v>
      </c>
      <c r="M45" s="7" t="inlineStr">
        <is>
          <t>Online Banking</t>
        </is>
      </c>
      <c r="N45" s="7" t="inlineStr">
        <is>
          <t>Y</t>
        </is>
      </c>
      <c r="O45" s="7">
        <f>TEXT(D45, "dddd")</f>
        <v/>
      </c>
      <c r="P45" s="7">
        <f>"Q"&amp;ROUNDUP(MONTH(D45)/3, 0)</f>
        <v/>
      </c>
    </row>
    <row r="46">
      <c r="A46" s="4" t="inlineStr">
        <is>
          <t>TXN100048</t>
        </is>
      </c>
      <c r="B46" s="4" t="inlineStr">
        <is>
          <t>CUST0048</t>
        </is>
      </c>
      <c r="C46" s="4" t="inlineStr">
        <is>
          <t>2026-06-01 05:56:00</t>
        </is>
      </c>
      <c r="D46" s="4">
        <f>TEXT(LEFT(C46,10),"YYYY-MM-DD")</f>
        <v/>
      </c>
      <c r="E46" s="5">
        <f>HOUR(C46)</f>
        <v/>
      </c>
      <c r="F46" s="4" t="inlineStr">
        <is>
          <t>Unspecified</t>
        </is>
      </c>
      <c r="G46" s="5" t="n">
        <v>21</v>
      </c>
      <c r="H46" s="4">
        <f>IF(G46&gt;=60, "Boomer", IF(G46&gt;=45, "Gen X", IF(G46&gt;=25, "Millennial", "Gen Z")))</f>
        <v/>
      </c>
      <c r="I46" s="4" t="inlineStr">
        <is>
          <t>Savings</t>
        </is>
      </c>
      <c r="J46" s="4" t="inlineStr">
        <is>
          <t>Entertainment</t>
        </is>
      </c>
      <c r="K46" s="6" t="n">
        <v>6261.27</v>
      </c>
      <c r="L46" s="6" t="n">
        <v>20879.8</v>
      </c>
      <c r="M46" s="4" t="inlineStr">
        <is>
          <t>Online Banking</t>
        </is>
      </c>
      <c r="N46" s="4" t="inlineStr">
        <is>
          <t>N</t>
        </is>
      </c>
      <c r="O46" s="4">
        <f>TEXT(D46, "dddd")</f>
        <v/>
      </c>
      <c r="P46" s="4">
        <f>"Q"&amp;ROUNDUP(MONTH(D46)/3, 0)</f>
        <v/>
      </c>
    </row>
    <row r="47">
      <c r="A47" s="7" t="inlineStr">
        <is>
          <t>TXN100049</t>
        </is>
      </c>
      <c r="B47" s="7" t="inlineStr">
        <is>
          <t>CUST0049</t>
        </is>
      </c>
      <c r="C47" s="7" t="inlineStr">
        <is>
          <t>2026-06-01 08:10:00</t>
        </is>
      </c>
      <c r="D47" s="7">
        <f>TEXT(LEFT(C47,10),"YYYY-MM-DD")</f>
        <v/>
      </c>
      <c r="E47" s="8">
        <f>HOUR(C47)</f>
        <v/>
      </c>
      <c r="F47" s="7" t="inlineStr">
        <is>
          <t>Male</t>
        </is>
      </c>
      <c r="G47" s="8" t="n">
        <v>44</v>
      </c>
      <c r="H47" s="7">
        <f>IF(G47&gt;=60, "Boomer", IF(G47&gt;=45, "Gen X", IF(G47&gt;=25, "Millennial", "Gen Z")))</f>
        <v/>
      </c>
      <c r="I47" s="7" t="inlineStr">
        <is>
          <t>Savings</t>
        </is>
      </c>
      <c r="J47" s="7" t="inlineStr">
        <is>
          <t>Utilities</t>
        </is>
      </c>
      <c r="K47" s="9" t="n">
        <v>1787.25</v>
      </c>
      <c r="L47" s="9" t="n">
        <v>40921.04</v>
      </c>
      <c r="M47" s="7" t="inlineStr">
        <is>
          <t>ATM</t>
        </is>
      </c>
      <c r="N47" s="7" t="inlineStr">
        <is>
          <t>N</t>
        </is>
      </c>
      <c r="O47" s="7">
        <f>TEXT(D47, "dddd")</f>
        <v/>
      </c>
      <c r="P47" s="7">
        <f>"Q"&amp;ROUNDUP(MONTH(D47)/3, 0)</f>
        <v/>
      </c>
    </row>
    <row r="48">
      <c r="A48" s="4" t="inlineStr">
        <is>
          <t>TXN100050</t>
        </is>
      </c>
      <c r="B48" s="4" t="inlineStr">
        <is>
          <t>CUST0050</t>
        </is>
      </c>
      <c r="C48" s="4" t="inlineStr">
        <is>
          <t>2025-05-01 00:00:00</t>
        </is>
      </c>
      <c r="D48" s="4">
        <f>TEXT(LEFT(C48,10),"YYYY-MM-DD")</f>
        <v/>
      </c>
      <c r="E48" s="5">
        <f>HOUR(C48)</f>
        <v/>
      </c>
      <c r="F48" s="4" t="inlineStr">
        <is>
          <t>Female</t>
        </is>
      </c>
      <c r="G48" s="5" t="n">
        <v>34</v>
      </c>
      <c r="H48" s="4">
        <f>IF(G48&gt;=60, "Boomer", IF(G48&gt;=45, "Gen X", IF(G48&gt;=25, "Millennial", "Gen Z")))</f>
        <v/>
      </c>
      <c r="I48" s="4" t="inlineStr">
        <is>
          <t>Savings</t>
        </is>
      </c>
      <c r="J48" s="4" t="inlineStr">
        <is>
          <t>Groceries</t>
        </is>
      </c>
      <c r="K48" s="6" t="n">
        <v>3193.74</v>
      </c>
      <c r="L48" s="6" t="n">
        <v>14290.85</v>
      </c>
      <c r="M48" s="4" t="inlineStr">
        <is>
          <t>Mobile App</t>
        </is>
      </c>
      <c r="N48" s="4" t="inlineStr">
        <is>
          <t>N</t>
        </is>
      </c>
      <c r="O48" s="4">
        <f>TEXT(D48, "dddd")</f>
        <v/>
      </c>
      <c r="P48" s="4">
        <f>"Q"&amp;ROUNDUP(MONTH(D48)/3, 0)</f>
        <v/>
      </c>
    </row>
    <row r="49">
      <c r="A49" s="7" t="inlineStr">
        <is>
          <t>TXN100051</t>
        </is>
      </c>
      <c r="B49" s="7" t="inlineStr">
        <is>
          <t>CUST0051</t>
        </is>
      </c>
      <c r="C49" s="7" t="inlineStr">
        <is>
          <t>2026-06-01 08:22:00</t>
        </is>
      </c>
      <c r="D49" s="7">
        <f>TEXT(LEFT(C49,10),"YYYY-MM-DD")</f>
        <v/>
      </c>
      <c r="E49" s="8">
        <f>HOUR(C49)</f>
        <v/>
      </c>
      <c r="F49" s="7" t="inlineStr">
        <is>
          <t>Unspecified</t>
        </is>
      </c>
      <c r="G49" s="8" t="n">
        <v>63</v>
      </c>
      <c r="H49" s="7">
        <f>IF(G49&gt;=60, "Boomer", IF(G49&gt;=45, "Gen X", IF(G49&gt;=25, "Millennial", "Gen Z")))</f>
        <v/>
      </c>
      <c r="I49" s="7" t="inlineStr">
        <is>
          <t>Investment</t>
        </is>
      </c>
      <c r="J49" s="7" t="inlineStr">
        <is>
          <t>Entertainment</t>
        </is>
      </c>
      <c r="K49" s="9" t="n">
        <v>7514.5</v>
      </c>
      <c r="L49" s="9" t="n">
        <v>6209.42</v>
      </c>
      <c r="M49" s="7" t="inlineStr">
        <is>
          <t>Branch Office</t>
        </is>
      </c>
      <c r="N49" s="7" t="inlineStr">
        <is>
          <t>N</t>
        </is>
      </c>
      <c r="O49" s="7">
        <f>TEXT(D49, "dddd")</f>
        <v/>
      </c>
      <c r="P49" s="7">
        <f>"Q"&amp;ROUNDUP(MONTH(D49)/3, 0)</f>
        <v/>
      </c>
    </row>
    <row r="50">
      <c r="A50" s="4" t="inlineStr">
        <is>
          <t>TXN100052</t>
        </is>
      </c>
      <c r="B50" s="4" t="inlineStr">
        <is>
          <t>CUST0052</t>
        </is>
      </c>
      <c r="C50" s="4" t="inlineStr">
        <is>
          <t>2026-06-01 08:02:00</t>
        </is>
      </c>
      <c r="D50" s="4">
        <f>TEXT(LEFT(C50,10),"YYYY-MM-DD")</f>
        <v/>
      </c>
      <c r="E50" s="5">
        <f>HOUR(C50)</f>
        <v/>
      </c>
      <c r="F50" s="4" t="inlineStr">
        <is>
          <t>Male</t>
        </is>
      </c>
      <c r="G50" s="5" t="n">
        <v>58</v>
      </c>
      <c r="H50" s="4">
        <f>IF(G50&gt;=60, "Boomer", IF(G50&gt;=45, "Gen X", IF(G50&gt;=25, "Millennial", "Gen Z")))</f>
        <v/>
      </c>
      <c r="I50" s="4" t="inlineStr">
        <is>
          <t>Checking</t>
        </is>
      </c>
      <c r="J50" s="4" t="inlineStr">
        <is>
          <t>Entertainment</t>
        </is>
      </c>
      <c r="K50" s="6" t="n">
        <v>5831.08</v>
      </c>
      <c r="L50" s="6" t="n">
        <v>16027.03</v>
      </c>
      <c r="M50" s="4" t="inlineStr">
        <is>
          <t>Mobile App</t>
        </is>
      </c>
      <c r="N50" s="4" t="inlineStr">
        <is>
          <t>N</t>
        </is>
      </c>
      <c r="O50" s="4">
        <f>TEXT(D50, "dddd")</f>
        <v/>
      </c>
      <c r="P50" s="4">
        <f>"Q"&amp;ROUNDUP(MONTH(D50)/3, 0)</f>
        <v/>
      </c>
    </row>
    <row r="51">
      <c r="A51" s="7" t="inlineStr">
        <is>
          <t>TXN100053</t>
        </is>
      </c>
      <c r="B51" s="7" t="inlineStr">
        <is>
          <t>CUST0053</t>
        </is>
      </c>
      <c r="C51" s="7" t="inlineStr">
        <is>
          <t>2026-06-01 12:57:00</t>
        </is>
      </c>
      <c r="D51" s="7">
        <f>TEXT(LEFT(C51,10),"YYYY-MM-DD")</f>
        <v/>
      </c>
      <c r="E51" s="8">
        <f>HOUR(C51)</f>
        <v/>
      </c>
      <c r="F51" s="7" t="inlineStr">
        <is>
          <t>Female</t>
        </is>
      </c>
      <c r="G51" s="8" t="n">
        <v>36</v>
      </c>
      <c r="H51" s="7">
        <f>IF(G51&gt;=60, "Boomer", IF(G51&gt;=45, "Gen X", IF(G51&gt;=25, "Millennial", "Gen Z")))</f>
        <v/>
      </c>
      <c r="I51" s="7" t="inlineStr">
        <is>
          <t>Savings</t>
        </is>
      </c>
      <c r="J51" s="7" t="inlineStr">
        <is>
          <t>Utilities</t>
        </is>
      </c>
      <c r="K51" s="9" t="n">
        <v>23.51</v>
      </c>
      <c r="L51" s="9" t="n">
        <v>46315.97</v>
      </c>
      <c r="M51" s="7" t="inlineStr">
        <is>
          <t>Online Banking</t>
        </is>
      </c>
      <c r="N51" s="7" t="inlineStr">
        <is>
          <t>N</t>
        </is>
      </c>
      <c r="O51" s="7">
        <f>TEXT(D51, "dddd")</f>
        <v/>
      </c>
      <c r="P51" s="7">
        <f>"Q"&amp;ROUNDUP(MONTH(D51)/3, 0)</f>
        <v/>
      </c>
    </row>
    <row r="52">
      <c r="A52" s="4" t="inlineStr">
        <is>
          <t>TXN100054</t>
        </is>
      </c>
      <c r="B52" s="4" t="inlineStr">
        <is>
          <t>CUST0054</t>
        </is>
      </c>
      <c r="C52" s="4" t="inlineStr">
        <is>
          <t>2026-06-01 11:27:00</t>
        </is>
      </c>
      <c r="D52" s="4">
        <f>TEXT(LEFT(C52,10),"YYYY-MM-DD")</f>
        <v/>
      </c>
      <c r="E52" s="5">
        <f>HOUR(C52)</f>
        <v/>
      </c>
      <c r="F52" s="4" t="inlineStr">
        <is>
          <t>Male</t>
        </is>
      </c>
      <c r="G52" s="5" t="n">
        <v>62</v>
      </c>
      <c r="H52" s="4">
        <f>IF(G52&gt;=60, "Boomer", IF(G52&gt;=45, "Gen X", IF(G52&gt;=25, "Millennial", "Gen Z")))</f>
        <v/>
      </c>
      <c r="I52" s="4" t="inlineStr">
        <is>
          <t>Checking</t>
        </is>
      </c>
      <c r="J52" s="4" t="inlineStr">
        <is>
          <t>Travel</t>
        </is>
      </c>
      <c r="K52" s="6" t="n">
        <v>2518.19</v>
      </c>
      <c r="L52" s="6" t="n">
        <v>42476.76</v>
      </c>
      <c r="M52" s="4" t="inlineStr">
        <is>
          <t>Branch Office</t>
        </is>
      </c>
      <c r="N52" s="4" t="inlineStr">
        <is>
          <t>N</t>
        </is>
      </c>
      <c r="O52" s="4">
        <f>TEXT(D52, "dddd")</f>
        <v/>
      </c>
      <c r="P52" s="4">
        <f>"Q"&amp;ROUNDUP(MONTH(D52)/3, 0)</f>
        <v/>
      </c>
    </row>
    <row r="53">
      <c r="A53" s="7" t="inlineStr">
        <is>
          <t>TXN100055</t>
        </is>
      </c>
      <c r="B53" s="7" t="inlineStr">
        <is>
          <t>CUST0055</t>
        </is>
      </c>
      <c r="C53" s="7" t="inlineStr">
        <is>
          <t>2026-06-01 16:19:00</t>
        </is>
      </c>
      <c r="D53" s="7">
        <f>TEXT(LEFT(C53,10),"YYYY-MM-DD")</f>
        <v/>
      </c>
      <c r="E53" s="8">
        <f>HOUR(C53)</f>
        <v/>
      </c>
      <c r="F53" s="7" t="inlineStr">
        <is>
          <t>Unspecified</t>
        </is>
      </c>
      <c r="G53" s="8" t="n">
        <v>40</v>
      </c>
      <c r="H53" s="7">
        <f>IF(G53&gt;=60, "Boomer", IF(G53&gt;=45, "Gen X", IF(G53&gt;=25, "Millennial", "Gen Z")))</f>
        <v/>
      </c>
      <c r="I53" s="7" t="inlineStr">
        <is>
          <t>Checking</t>
        </is>
      </c>
      <c r="J53" s="7" t="inlineStr">
        <is>
          <t>Entertainment</t>
        </is>
      </c>
      <c r="K53" s="9" t="n">
        <v>4439.76</v>
      </c>
      <c r="L53" s="9" t="n">
        <v>9996.08</v>
      </c>
      <c r="M53" s="7" t="inlineStr">
        <is>
          <t>ATM</t>
        </is>
      </c>
      <c r="N53" s="7" t="inlineStr">
        <is>
          <t>N</t>
        </is>
      </c>
      <c r="O53" s="7">
        <f>TEXT(D53, "dddd")</f>
        <v/>
      </c>
      <c r="P53" s="7">
        <f>"Q"&amp;ROUNDUP(MONTH(D53)/3, 0)</f>
        <v/>
      </c>
    </row>
    <row r="54">
      <c r="A54" s="4" t="inlineStr">
        <is>
          <t>TXN100056</t>
        </is>
      </c>
      <c r="B54" s="4" t="inlineStr">
        <is>
          <t>CUST0056</t>
        </is>
      </c>
      <c r="C54" s="4" t="inlineStr">
        <is>
          <t>2026-06-01 21:47:00</t>
        </is>
      </c>
      <c r="D54" s="4">
        <f>TEXT(LEFT(C54,10),"YYYY-MM-DD")</f>
        <v/>
      </c>
      <c r="E54" s="5">
        <f>HOUR(C54)</f>
        <v/>
      </c>
      <c r="F54" s="4" t="inlineStr">
        <is>
          <t>Male</t>
        </is>
      </c>
      <c r="G54" s="5" t="n">
        <v>59</v>
      </c>
      <c r="H54" s="4">
        <f>IF(G54&gt;=60, "Boomer", IF(G54&gt;=45, "Gen X", IF(G54&gt;=25, "Millennial", "Gen Z")))</f>
        <v/>
      </c>
      <c r="I54" s="4" t="inlineStr">
        <is>
          <t>Investment</t>
        </is>
      </c>
      <c r="J54" s="4" t="inlineStr">
        <is>
          <t>Entertainment</t>
        </is>
      </c>
      <c r="K54" s="6" t="n">
        <v>3254.54</v>
      </c>
      <c r="L54" s="6" t="n">
        <v>41769.4</v>
      </c>
      <c r="M54" s="4" t="inlineStr">
        <is>
          <t>Branch Office</t>
        </is>
      </c>
      <c r="N54" s="4" t="inlineStr">
        <is>
          <t>N</t>
        </is>
      </c>
      <c r="O54" s="4">
        <f>TEXT(D54, "dddd")</f>
        <v/>
      </c>
      <c r="P54" s="4">
        <f>"Q"&amp;ROUNDUP(MONTH(D54)/3, 0)</f>
        <v/>
      </c>
    </row>
    <row r="55">
      <c r="A55" s="7" t="inlineStr">
        <is>
          <t>TXN100057</t>
        </is>
      </c>
      <c r="B55" s="7" t="inlineStr">
        <is>
          <t>CUST0057</t>
        </is>
      </c>
      <c r="C55" s="7" t="inlineStr">
        <is>
          <t>2026-06-01 09:13:00</t>
        </is>
      </c>
      <c r="D55" s="7">
        <f>TEXT(LEFT(C55,10),"YYYY-MM-DD")</f>
        <v/>
      </c>
      <c r="E55" s="8">
        <f>HOUR(C55)</f>
        <v/>
      </c>
      <c r="F55" s="7" t="inlineStr">
        <is>
          <t>Unspecified</t>
        </is>
      </c>
      <c r="G55" s="8" t="n">
        <v>70</v>
      </c>
      <c r="H55" s="7">
        <f>IF(G55&gt;=60, "Boomer", IF(G55&gt;=45, "Gen X", IF(G55&gt;=25, "Millennial", "Gen Z")))</f>
        <v/>
      </c>
      <c r="I55" s="7" t="inlineStr">
        <is>
          <t>Investment</t>
        </is>
      </c>
      <c r="J55" s="7" t="inlineStr">
        <is>
          <t>Travel</t>
        </is>
      </c>
      <c r="K55" s="9" t="n">
        <v>5241.1</v>
      </c>
      <c r="L55" s="9" t="n">
        <v>23516.92</v>
      </c>
      <c r="M55" s="7" t="inlineStr">
        <is>
          <t>ATM</t>
        </is>
      </c>
      <c r="N55" s="7" t="inlineStr">
        <is>
          <t>N</t>
        </is>
      </c>
      <c r="O55" s="7">
        <f>TEXT(D55, "dddd")</f>
        <v/>
      </c>
      <c r="P55" s="7">
        <f>"Q"&amp;ROUNDUP(MONTH(D55)/3, 0)</f>
        <v/>
      </c>
    </row>
    <row r="56">
      <c r="A56" s="4" t="inlineStr">
        <is>
          <t>TXN100058</t>
        </is>
      </c>
      <c r="B56" s="4" t="inlineStr">
        <is>
          <t>CUST0058</t>
        </is>
      </c>
      <c r="C56" s="4" t="inlineStr">
        <is>
          <t>2026-06-01 21:13:00</t>
        </is>
      </c>
      <c r="D56" s="4">
        <f>TEXT(LEFT(C56,10),"YYYY-MM-DD")</f>
        <v/>
      </c>
      <c r="E56" s="5">
        <f>HOUR(C56)</f>
        <v/>
      </c>
      <c r="F56" s="4" t="inlineStr">
        <is>
          <t>Unspecified</t>
        </is>
      </c>
      <c r="G56" s="5" t="n">
        <v>70</v>
      </c>
      <c r="H56" s="4">
        <f>IF(G56&gt;=60, "Boomer", IF(G56&gt;=45, "Gen X", IF(G56&gt;=25, "Millennial", "Gen Z")))</f>
        <v/>
      </c>
      <c r="I56" s="4" t="inlineStr">
        <is>
          <t>Investment</t>
        </is>
      </c>
      <c r="J56" s="4" t="inlineStr">
        <is>
          <t>Groceries</t>
        </is>
      </c>
      <c r="K56" s="6" t="n">
        <v>5274.22</v>
      </c>
      <c r="L56" s="6" t="n">
        <v>14547.43</v>
      </c>
      <c r="M56" s="4" t="inlineStr">
        <is>
          <t>Branch Office</t>
        </is>
      </c>
      <c r="N56" s="4" t="inlineStr">
        <is>
          <t>N</t>
        </is>
      </c>
      <c r="O56" s="4">
        <f>TEXT(D56, "dddd")</f>
        <v/>
      </c>
      <c r="P56" s="4">
        <f>"Q"&amp;ROUNDUP(MONTH(D56)/3, 0)</f>
        <v/>
      </c>
    </row>
    <row r="57">
      <c r="A57" s="7" t="inlineStr">
        <is>
          <t>TXN100059</t>
        </is>
      </c>
      <c r="B57" s="7" t="inlineStr">
        <is>
          <t>CUST0059</t>
        </is>
      </c>
      <c r="C57" s="7" t="inlineStr">
        <is>
          <t>2026-06-01 02:52:00</t>
        </is>
      </c>
      <c r="D57" s="7">
        <f>TEXT(LEFT(C57,10),"YYYY-MM-DD")</f>
        <v/>
      </c>
      <c r="E57" s="8">
        <f>HOUR(C57)</f>
        <v/>
      </c>
      <c r="F57" s="7" t="inlineStr">
        <is>
          <t>Female</t>
        </is>
      </c>
      <c r="G57" s="8" t="n">
        <v>63</v>
      </c>
      <c r="H57" s="7">
        <f>IF(G57&gt;=60, "Boomer", IF(G57&gt;=45, "Gen X", IF(G57&gt;=25, "Millennial", "Gen Z")))</f>
        <v/>
      </c>
      <c r="I57" s="7" t="inlineStr">
        <is>
          <t>Checking</t>
        </is>
      </c>
      <c r="J57" s="7" t="inlineStr">
        <is>
          <t>Groceries</t>
        </is>
      </c>
      <c r="K57" s="9" t="n">
        <v>6454.44</v>
      </c>
      <c r="L57" s="9" t="n">
        <v>7794.02</v>
      </c>
      <c r="M57" s="7" t="inlineStr">
        <is>
          <t>Mobile App</t>
        </is>
      </c>
      <c r="N57" s="7" t="inlineStr">
        <is>
          <t>N</t>
        </is>
      </c>
      <c r="O57" s="7">
        <f>TEXT(D57, "dddd")</f>
        <v/>
      </c>
      <c r="P57" s="7">
        <f>"Q"&amp;ROUNDUP(MONTH(D57)/3, 0)</f>
        <v/>
      </c>
    </row>
    <row r="58">
      <c r="A58" s="4" t="inlineStr">
        <is>
          <t>TXN100060</t>
        </is>
      </c>
      <c r="B58" s="4" t="inlineStr">
        <is>
          <t>CUST0060</t>
        </is>
      </c>
      <c r="C58" s="4" t="inlineStr">
        <is>
          <t>2026-06-01 07:30:00</t>
        </is>
      </c>
      <c r="D58" s="4">
        <f>TEXT(LEFT(C58,10),"YYYY-MM-DD")</f>
        <v/>
      </c>
      <c r="E58" s="5">
        <f>HOUR(C58)</f>
        <v/>
      </c>
      <c r="F58" s="4" t="inlineStr">
        <is>
          <t>Male</t>
        </is>
      </c>
      <c r="G58" s="5" t="n">
        <v>49</v>
      </c>
      <c r="H58" s="4">
        <f>IF(G58&gt;=60, "Boomer", IF(G58&gt;=45, "Gen X", IF(G58&gt;=25, "Millennial", "Gen Z")))</f>
        <v/>
      </c>
      <c r="I58" s="4" t="inlineStr">
        <is>
          <t>Checking</t>
        </is>
      </c>
      <c r="J58" s="4" t="inlineStr">
        <is>
          <t>Travel</t>
        </is>
      </c>
      <c r="K58" s="6" t="n">
        <v>1563.54</v>
      </c>
      <c r="L58" s="6" t="n">
        <v>34969.54</v>
      </c>
      <c r="M58" s="4" t="inlineStr">
        <is>
          <t>ATM</t>
        </is>
      </c>
      <c r="N58" s="4" t="inlineStr">
        <is>
          <t>N</t>
        </is>
      </c>
      <c r="O58" s="4">
        <f>TEXT(D58, "dddd")</f>
        <v/>
      </c>
      <c r="P58" s="4">
        <f>"Q"&amp;ROUNDUP(MONTH(D58)/3, 0)</f>
        <v/>
      </c>
    </row>
    <row r="59">
      <c r="A59" s="7" t="inlineStr">
        <is>
          <t>TXN100061</t>
        </is>
      </c>
      <c r="B59" s="7" t="inlineStr">
        <is>
          <t>CUST0061</t>
        </is>
      </c>
      <c r="C59" s="7" t="inlineStr">
        <is>
          <t>2026-06-01 12:15:00</t>
        </is>
      </c>
      <c r="D59" s="7">
        <f>TEXT(LEFT(C59,10),"YYYY-MM-DD")</f>
        <v/>
      </c>
      <c r="E59" s="8">
        <f>HOUR(C59)</f>
        <v/>
      </c>
      <c r="F59" s="7" t="inlineStr">
        <is>
          <t>Male</t>
        </is>
      </c>
      <c r="G59" s="8" t="n">
        <v>61</v>
      </c>
      <c r="H59" s="7">
        <f>IF(G59&gt;=60, "Boomer", IF(G59&gt;=45, "Gen X", IF(G59&gt;=25, "Millennial", "Gen Z")))</f>
        <v/>
      </c>
      <c r="I59" s="7" t="inlineStr">
        <is>
          <t>Investment</t>
        </is>
      </c>
      <c r="J59" s="7" t="inlineStr">
        <is>
          <t>Groceries</t>
        </is>
      </c>
      <c r="K59" s="9" t="n">
        <v>7142.35</v>
      </c>
      <c r="L59" s="9" t="n">
        <v>43091.81</v>
      </c>
      <c r="M59" s="7" t="inlineStr">
        <is>
          <t>Mobile App</t>
        </is>
      </c>
      <c r="N59" s="7" t="inlineStr">
        <is>
          <t>Y</t>
        </is>
      </c>
      <c r="O59" s="7">
        <f>TEXT(D59, "dddd")</f>
        <v/>
      </c>
      <c r="P59" s="7">
        <f>"Q"&amp;ROUNDUP(MONTH(D59)/3, 0)</f>
        <v/>
      </c>
    </row>
    <row r="60">
      <c r="A60" s="4" t="inlineStr">
        <is>
          <t>TXN100062</t>
        </is>
      </c>
      <c r="B60" s="4" t="inlineStr">
        <is>
          <t>CUST0062</t>
        </is>
      </c>
      <c r="C60" s="4" t="inlineStr">
        <is>
          <t>2026-06-01 07:11:00</t>
        </is>
      </c>
      <c r="D60" s="4">
        <f>TEXT(LEFT(C60,10),"YYYY-MM-DD")</f>
        <v/>
      </c>
      <c r="E60" s="5">
        <f>HOUR(C60)</f>
        <v/>
      </c>
      <c r="F60" s="4" t="inlineStr">
        <is>
          <t>Unspecified</t>
        </is>
      </c>
      <c r="G60" s="5" t="n">
        <v>23</v>
      </c>
      <c r="H60" s="4">
        <f>IF(G60&gt;=60, "Boomer", IF(G60&gt;=45, "Gen X", IF(G60&gt;=25, "Millennial", "Gen Z")))</f>
        <v/>
      </c>
      <c r="I60" s="4" t="inlineStr">
        <is>
          <t>Investment</t>
        </is>
      </c>
      <c r="J60" s="4" t="inlineStr">
        <is>
          <t>Groceries</t>
        </is>
      </c>
      <c r="K60" s="6" t="n">
        <v>7340.59</v>
      </c>
      <c r="L60" s="6" t="n">
        <v>6507.25</v>
      </c>
      <c r="M60" s="4" t="inlineStr">
        <is>
          <t>Online Banking</t>
        </is>
      </c>
      <c r="N60" s="4" t="inlineStr">
        <is>
          <t>Y</t>
        </is>
      </c>
      <c r="O60" s="4">
        <f>TEXT(D60, "dddd")</f>
        <v/>
      </c>
      <c r="P60" s="4">
        <f>"Q"&amp;ROUNDUP(MONTH(D60)/3, 0)</f>
        <v/>
      </c>
    </row>
    <row r="61">
      <c r="A61" s="7" t="inlineStr">
        <is>
          <t>TXN100063</t>
        </is>
      </c>
      <c r="B61" s="7" t="inlineStr">
        <is>
          <t>CUST0063</t>
        </is>
      </c>
      <c r="C61" s="7" t="inlineStr">
        <is>
          <t>2026-06-01 21:33:00</t>
        </is>
      </c>
      <c r="D61" s="7">
        <f>TEXT(LEFT(C61,10),"YYYY-MM-DD")</f>
        <v/>
      </c>
      <c r="E61" s="8">
        <f>HOUR(C61)</f>
        <v/>
      </c>
      <c r="F61" s="7" t="inlineStr">
        <is>
          <t>Female</t>
        </is>
      </c>
      <c r="G61" s="8" t="n">
        <v>68</v>
      </c>
      <c r="H61" s="7">
        <f>IF(G61&gt;=60, "Boomer", IF(G61&gt;=45, "Gen X", IF(G61&gt;=25, "Millennial", "Gen Z")))</f>
        <v/>
      </c>
      <c r="I61" s="7" t="inlineStr">
        <is>
          <t>Checking</t>
        </is>
      </c>
      <c r="J61" s="7" t="inlineStr">
        <is>
          <t>Travel</t>
        </is>
      </c>
      <c r="K61" s="9" t="n">
        <v>6521.9</v>
      </c>
      <c r="L61" s="9" t="n">
        <v>44655</v>
      </c>
      <c r="M61" s="7" t="inlineStr">
        <is>
          <t>ATM</t>
        </is>
      </c>
      <c r="N61" s="7" t="inlineStr">
        <is>
          <t>N</t>
        </is>
      </c>
      <c r="O61" s="7">
        <f>TEXT(D61, "dddd")</f>
        <v/>
      </c>
      <c r="P61" s="7">
        <f>"Q"&amp;ROUNDUP(MONTH(D61)/3, 0)</f>
        <v/>
      </c>
    </row>
    <row r="62">
      <c r="A62" s="4" t="inlineStr">
        <is>
          <t>TXN100064</t>
        </is>
      </c>
      <c r="B62" s="4" t="inlineStr">
        <is>
          <t>CUST0064</t>
        </is>
      </c>
      <c r="C62" s="4" t="inlineStr">
        <is>
          <t>2026-06-01 17:28:00</t>
        </is>
      </c>
      <c r="D62" s="4">
        <f>TEXT(LEFT(C62,10),"YYYY-MM-DD")</f>
        <v/>
      </c>
      <c r="E62" s="5">
        <f>HOUR(C62)</f>
        <v/>
      </c>
      <c r="F62" s="4" t="inlineStr">
        <is>
          <t>Male</t>
        </is>
      </c>
      <c r="G62" s="5" t="n">
        <v>67</v>
      </c>
      <c r="H62" s="4">
        <f>IF(G62&gt;=60, "Boomer", IF(G62&gt;=45, "Gen X", IF(G62&gt;=25, "Millennial", "Gen Z")))</f>
        <v/>
      </c>
      <c r="I62" s="4" t="inlineStr">
        <is>
          <t>Checking</t>
        </is>
      </c>
      <c r="J62" s="4" t="inlineStr">
        <is>
          <t>Utilities</t>
        </is>
      </c>
      <c r="K62" s="6" t="n">
        <v>2080.94</v>
      </c>
      <c r="L62" s="6" t="n">
        <v>12738.37</v>
      </c>
      <c r="M62" s="4" t="inlineStr">
        <is>
          <t>Branch Office</t>
        </is>
      </c>
      <c r="N62" s="4" t="inlineStr">
        <is>
          <t>N</t>
        </is>
      </c>
      <c r="O62" s="4">
        <f>TEXT(D62, "dddd")</f>
        <v/>
      </c>
      <c r="P62" s="4">
        <f>"Q"&amp;ROUNDUP(MONTH(D62)/3, 0)</f>
        <v/>
      </c>
    </row>
    <row r="63">
      <c r="A63" s="7" t="inlineStr">
        <is>
          <t>TXN100065</t>
        </is>
      </c>
      <c r="B63" s="7" t="inlineStr">
        <is>
          <t>CUST0065</t>
        </is>
      </c>
      <c r="C63" s="7" t="inlineStr">
        <is>
          <t>2026-06-01 16:31:00</t>
        </is>
      </c>
      <c r="D63" s="7">
        <f>TEXT(LEFT(C63,10),"YYYY-MM-DD")</f>
        <v/>
      </c>
      <c r="E63" s="8">
        <f>HOUR(C63)</f>
        <v/>
      </c>
      <c r="F63" s="7" t="inlineStr">
        <is>
          <t>Female</t>
        </is>
      </c>
      <c r="G63" s="8" t="n">
        <v>37</v>
      </c>
      <c r="H63" s="7">
        <f>IF(G63&gt;=60, "Boomer", IF(G63&gt;=45, "Gen X", IF(G63&gt;=25, "Millennial", "Gen Z")))</f>
        <v/>
      </c>
      <c r="I63" s="7" t="inlineStr">
        <is>
          <t>Checking</t>
        </is>
      </c>
      <c r="J63" s="7" t="inlineStr">
        <is>
          <t>Groceries</t>
        </is>
      </c>
      <c r="K63" s="9" t="n">
        <v>5711.22</v>
      </c>
      <c r="L63" s="9" t="n">
        <v>12107.43</v>
      </c>
      <c r="M63" s="7" t="inlineStr">
        <is>
          <t>Branch Office</t>
        </is>
      </c>
      <c r="N63" s="7" t="inlineStr">
        <is>
          <t>N</t>
        </is>
      </c>
      <c r="O63" s="7">
        <f>TEXT(D63, "dddd")</f>
        <v/>
      </c>
      <c r="P63" s="7">
        <f>"Q"&amp;ROUNDUP(MONTH(D63)/3, 0)</f>
        <v/>
      </c>
    </row>
    <row r="64">
      <c r="A64" s="4" t="inlineStr">
        <is>
          <t>TXN100066</t>
        </is>
      </c>
      <c r="B64" s="4" t="inlineStr">
        <is>
          <t>CUST0066</t>
        </is>
      </c>
      <c r="C64" s="4" t="inlineStr">
        <is>
          <t>2026-06-01 10:57:00</t>
        </is>
      </c>
      <c r="D64" s="4">
        <f>TEXT(LEFT(C64,10),"YYYY-MM-DD")</f>
        <v/>
      </c>
      <c r="E64" s="5">
        <f>HOUR(C64)</f>
        <v/>
      </c>
      <c r="F64" s="4" t="inlineStr">
        <is>
          <t>Male</t>
        </is>
      </c>
      <c r="G64" s="5" t="n">
        <v>28</v>
      </c>
      <c r="H64" s="4">
        <f>IF(G64&gt;=60, "Boomer", IF(G64&gt;=45, "Gen X", IF(G64&gt;=25, "Millennial", "Gen Z")))</f>
        <v/>
      </c>
      <c r="I64" s="4" t="inlineStr">
        <is>
          <t>Savings</t>
        </is>
      </c>
      <c r="J64" s="4" t="inlineStr">
        <is>
          <t>Groceries</t>
        </is>
      </c>
      <c r="K64" s="6" t="n">
        <v>3070.45</v>
      </c>
      <c r="L64" s="6" t="n">
        <v>8063.86</v>
      </c>
      <c r="M64" s="4" t="inlineStr">
        <is>
          <t>Online Banking</t>
        </is>
      </c>
      <c r="N64" s="4" t="inlineStr">
        <is>
          <t>N</t>
        </is>
      </c>
      <c r="O64" s="4">
        <f>TEXT(D64, "dddd")</f>
        <v/>
      </c>
      <c r="P64" s="4">
        <f>"Q"&amp;ROUNDUP(MONTH(D64)/3, 0)</f>
        <v/>
      </c>
    </row>
    <row r="65">
      <c r="A65" s="7" t="inlineStr">
        <is>
          <t>TXN100067</t>
        </is>
      </c>
      <c r="B65" s="7" t="inlineStr">
        <is>
          <t>CUST0067</t>
        </is>
      </c>
      <c r="C65" s="7" t="inlineStr">
        <is>
          <t>2026-06-01 02:26:00</t>
        </is>
      </c>
      <c r="D65" s="7">
        <f>TEXT(LEFT(C65,10),"YYYY-MM-DD")</f>
        <v/>
      </c>
      <c r="E65" s="8">
        <f>HOUR(C65)</f>
        <v/>
      </c>
      <c r="F65" s="7" t="inlineStr">
        <is>
          <t>Unspecified</t>
        </is>
      </c>
      <c r="G65" s="8" t="n">
        <v>41</v>
      </c>
      <c r="H65" s="7">
        <f>IF(G65&gt;=60, "Boomer", IF(G65&gt;=45, "Gen X", IF(G65&gt;=25, "Millennial", "Gen Z")))</f>
        <v/>
      </c>
      <c r="I65" s="7" t="inlineStr">
        <is>
          <t>Investment</t>
        </is>
      </c>
      <c r="J65" s="7" t="inlineStr">
        <is>
          <t>Utilities</t>
        </is>
      </c>
      <c r="K65" s="9" t="n">
        <v>3332.04</v>
      </c>
      <c r="L65" s="9" t="n">
        <v>10738.3</v>
      </c>
      <c r="M65" s="7" t="inlineStr">
        <is>
          <t>ATM</t>
        </is>
      </c>
      <c r="N65" s="7" t="inlineStr">
        <is>
          <t>N</t>
        </is>
      </c>
      <c r="O65" s="7">
        <f>TEXT(D65, "dddd")</f>
        <v/>
      </c>
      <c r="P65" s="7">
        <f>"Q"&amp;ROUNDUP(MONTH(D65)/3, 0)</f>
        <v/>
      </c>
    </row>
    <row r="66">
      <c r="A66" s="4" t="inlineStr">
        <is>
          <t>TXN100068</t>
        </is>
      </c>
      <c r="B66" s="4" t="inlineStr">
        <is>
          <t>CUST0068</t>
        </is>
      </c>
      <c r="C66" s="4" t="inlineStr">
        <is>
          <t>2026-06-01 12:57:00</t>
        </is>
      </c>
      <c r="D66" s="4">
        <f>TEXT(LEFT(C66,10),"YYYY-MM-DD")</f>
        <v/>
      </c>
      <c r="E66" s="5">
        <f>HOUR(C66)</f>
        <v/>
      </c>
      <c r="F66" s="4" t="inlineStr">
        <is>
          <t>Male</t>
        </is>
      </c>
      <c r="G66" s="5" t="n">
        <v>74</v>
      </c>
      <c r="H66" s="4">
        <f>IF(G66&gt;=60, "Boomer", IF(G66&gt;=45, "Gen X", IF(G66&gt;=25, "Millennial", "Gen Z")))</f>
        <v/>
      </c>
      <c r="I66" s="4" t="inlineStr">
        <is>
          <t>Investment</t>
        </is>
      </c>
      <c r="J66" s="4" t="inlineStr">
        <is>
          <t>Utilities</t>
        </is>
      </c>
      <c r="K66" s="6" t="n">
        <v>3821.07</v>
      </c>
      <c r="L66" s="6" t="n">
        <v>47165.71</v>
      </c>
      <c r="M66" s="4" t="inlineStr">
        <is>
          <t>Branch Office</t>
        </is>
      </c>
      <c r="N66" s="4" t="inlineStr">
        <is>
          <t>N</t>
        </is>
      </c>
      <c r="O66" s="4">
        <f>TEXT(D66, "dddd")</f>
        <v/>
      </c>
      <c r="P66" s="4">
        <f>"Q"&amp;ROUNDUP(MONTH(D66)/3, 0)</f>
        <v/>
      </c>
    </row>
    <row r="67">
      <c r="A67" s="7" t="inlineStr">
        <is>
          <t>TXN100069</t>
        </is>
      </c>
      <c r="B67" s="7" t="inlineStr">
        <is>
          <t>CUST0069</t>
        </is>
      </c>
      <c r="C67" s="7" t="inlineStr">
        <is>
          <t>2026-06-01 12:54:00</t>
        </is>
      </c>
      <c r="D67" s="7">
        <f>TEXT(LEFT(C67,10),"YYYY-MM-DD")</f>
        <v/>
      </c>
      <c r="E67" s="8">
        <f>HOUR(C67)</f>
        <v/>
      </c>
      <c r="F67" s="7" t="inlineStr">
        <is>
          <t>Unspecified</t>
        </is>
      </c>
      <c r="G67" s="8" t="n">
        <v>54</v>
      </c>
      <c r="H67" s="7">
        <f>IF(G67&gt;=60, "Boomer", IF(G67&gt;=45, "Gen X", IF(G67&gt;=25, "Millennial", "Gen Z")))</f>
        <v/>
      </c>
      <c r="I67" s="7" t="inlineStr">
        <is>
          <t>Investment</t>
        </is>
      </c>
      <c r="J67" s="7" t="inlineStr">
        <is>
          <t>Travel</t>
        </is>
      </c>
      <c r="K67" s="9" t="n">
        <v>6400.95</v>
      </c>
      <c r="L67" s="9" t="n">
        <v>44941.66</v>
      </c>
      <c r="M67" s="7" t="inlineStr">
        <is>
          <t>ATM</t>
        </is>
      </c>
      <c r="N67" s="7" t="inlineStr">
        <is>
          <t>N</t>
        </is>
      </c>
      <c r="O67" s="7">
        <f>TEXT(D67, "dddd")</f>
        <v/>
      </c>
      <c r="P67" s="7">
        <f>"Q"&amp;ROUNDUP(MONTH(D67)/3, 0)</f>
        <v/>
      </c>
    </row>
    <row r="68">
      <c r="A68" s="4" t="inlineStr">
        <is>
          <t>TXN100070</t>
        </is>
      </c>
      <c r="B68" s="4" t="inlineStr">
        <is>
          <t>CUST0070</t>
        </is>
      </c>
      <c r="C68" s="4" t="inlineStr">
        <is>
          <t>2026-06-01 07:17:00</t>
        </is>
      </c>
      <c r="D68" s="4">
        <f>TEXT(LEFT(C68,10),"YYYY-MM-DD")</f>
        <v/>
      </c>
      <c r="E68" s="5">
        <f>HOUR(C68)</f>
        <v/>
      </c>
      <c r="F68" s="4" t="inlineStr">
        <is>
          <t>Unspecified</t>
        </is>
      </c>
      <c r="G68" s="5" t="n">
        <v>51</v>
      </c>
      <c r="H68" s="4">
        <f>IF(G68&gt;=60, "Boomer", IF(G68&gt;=45, "Gen X", IF(G68&gt;=25, "Millennial", "Gen Z")))</f>
        <v/>
      </c>
      <c r="I68" s="4" t="inlineStr">
        <is>
          <t>Savings</t>
        </is>
      </c>
      <c r="J68" s="4" t="inlineStr">
        <is>
          <t>Utilities</t>
        </is>
      </c>
      <c r="K68" s="6" t="n">
        <v>2695.68</v>
      </c>
      <c r="L68" s="6" t="n">
        <v>34117.52</v>
      </c>
      <c r="M68" s="4" t="inlineStr">
        <is>
          <t>ATM</t>
        </is>
      </c>
      <c r="N68" s="4" t="inlineStr">
        <is>
          <t>N</t>
        </is>
      </c>
      <c r="O68" s="4">
        <f>TEXT(D68, "dddd")</f>
        <v/>
      </c>
      <c r="P68" s="4">
        <f>"Q"&amp;ROUNDUP(MONTH(D68)/3, 0)</f>
        <v/>
      </c>
    </row>
    <row r="69">
      <c r="A69" s="7" t="inlineStr">
        <is>
          <t>TXN100071</t>
        </is>
      </c>
      <c r="B69" s="7" t="inlineStr">
        <is>
          <t>CUST0071</t>
        </is>
      </c>
      <c r="C69" s="7" t="inlineStr">
        <is>
          <t>2026-06-01 23:10:00</t>
        </is>
      </c>
      <c r="D69" s="7">
        <f>TEXT(LEFT(C69,10),"YYYY-MM-DD")</f>
        <v/>
      </c>
      <c r="E69" s="8">
        <f>HOUR(C69)</f>
        <v/>
      </c>
      <c r="F69" s="7" t="inlineStr">
        <is>
          <t>Unspecified</t>
        </is>
      </c>
      <c r="G69" s="8" t="n">
        <v>28</v>
      </c>
      <c r="H69" s="7">
        <f>IF(G69&gt;=60, "Boomer", IF(G69&gt;=45, "Gen X", IF(G69&gt;=25, "Millennial", "Gen Z")))</f>
        <v/>
      </c>
      <c r="I69" s="7" t="inlineStr">
        <is>
          <t>Investment</t>
        </is>
      </c>
      <c r="J69" s="7" t="inlineStr">
        <is>
          <t>Travel</t>
        </is>
      </c>
      <c r="K69" s="9" t="n">
        <v>225.46</v>
      </c>
      <c r="L69" s="9" t="n">
        <v>20004</v>
      </c>
      <c r="M69" s="7" t="inlineStr">
        <is>
          <t>Mobile App</t>
        </is>
      </c>
      <c r="N69" s="7" t="inlineStr">
        <is>
          <t>N</t>
        </is>
      </c>
      <c r="O69" s="7">
        <f>TEXT(D69, "dddd")</f>
        <v/>
      </c>
      <c r="P69" s="7">
        <f>"Q"&amp;ROUNDUP(MONTH(D69)/3, 0)</f>
        <v/>
      </c>
    </row>
    <row r="70">
      <c r="A70" s="4" t="inlineStr">
        <is>
          <t>TXN100072</t>
        </is>
      </c>
      <c r="B70" s="4" t="inlineStr">
        <is>
          <t>CUST0072</t>
        </is>
      </c>
      <c r="C70" s="4" t="inlineStr">
        <is>
          <t>2026-06-01 02:41:00</t>
        </is>
      </c>
      <c r="D70" s="4">
        <f>TEXT(LEFT(C70,10),"YYYY-MM-DD")</f>
        <v/>
      </c>
      <c r="E70" s="5">
        <f>HOUR(C70)</f>
        <v/>
      </c>
      <c r="F70" s="4" t="inlineStr">
        <is>
          <t>Unspecified</t>
        </is>
      </c>
      <c r="G70" s="5" t="n">
        <v>28</v>
      </c>
      <c r="H70" s="4">
        <f>IF(G70&gt;=60, "Boomer", IF(G70&gt;=45, "Gen X", IF(G70&gt;=25, "Millennial", "Gen Z")))</f>
        <v/>
      </c>
      <c r="I70" s="4" t="inlineStr">
        <is>
          <t>Checking</t>
        </is>
      </c>
      <c r="J70" s="4" t="inlineStr">
        <is>
          <t>Groceries</t>
        </is>
      </c>
      <c r="K70" s="6" t="n">
        <v>411.77</v>
      </c>
      <c r="L70" s="6" t="n">
        <v>19265.64</v>
      </c>
      <c r="M70" s="4" t="inlineStr">
        <is>
          <t>Online Banking</t>
        </is>
      </c>
      <c r="N70" s="4" t="inlineStr">
        <is>
          <t>N</t>
        </is>
      </c>
      <c r="O70" s="4">
        <f>TEXT(D70, "dddd")</f>
        <v/>
      </c>
      <c r="P70" s="4">
        <f>"Q"&amp;ROUNDUP(MONTH(D70)/3, 0)</f>
        <v/>
      </c>
    </row>
    <row r="71">
      <c r="A71" s="7" t="inlineStr">
        <is>
          <t>TXN100073</t>
        </is>
      </c>
      <c r="B71" s="7" t="inlineStr">
        <is>
          <t>CUST0073</t>
        </is>
      </c>
      <c r="C71" s="7" t="inlineStr">
        <is>
          <t>2026-06-01 14:20:00</t>
        </is>
      </c>
      <c r="D71" s="7">
        <f>TEXT(LEFT(C71,10),"YYYY-MM-DD")</f>
        <v/>
      </c>
      <c r="E71" s="8">
        <f>HOUR(C71)</f>
        <v/>
      </c>
      <c r="F71" s="7" t="inlineStr">
        <is>
          <t>Female</t>
        </is>
      </c>
      <c r="G71" s="8" t="n">
        <v>68</v>
      </c>
      <c r="H71" s="7">
        <f>IF(G71&gt;=60, "Boomer", IF(G71&gt;=45, "Gen X", IF(G71&gt;=25, "Millennial", "Gen Z")))</f>
        <v/>
      </c>
      <c r="I71" s="7" t="inlineStr">
        <is>
          <t>Checking</t>
        </is>
      </c>
      <c r="J71" s="7" t="inlineStr">
        <is>
          <t>Entertainment</t>
        </is>
      </c>
      <c r="K71" s="9" t="n">
        <v>6018.56</v>
      </c>
      <c r="L71" s="9" t="n">
        <v>41680.25</v>
      </c>
      <c r="M71" s="7" t="inlineStr">
        <is>
          <t>Branch Office</t>
        </is>
      </c>
      <c r="N71" s="7" t="inlineStr">
        <is>
          <t>N</t>
        </is>
      </c>
      <c r="O71" s="7">
        <f>TEXT(D71, "dddd")</f>
        <v/>
      </c>
      <c r="P71" s="7">
        <f>"Q"&amp;ROUNDUP(MONTH(D71)/3, 0)</f>
        <v/>
      </c>
    </row>
    <row r="72">
      <c r="A72" s="4" t="inlineStr">
        <is>
          <t>TXN100074</t>
        </is>
      </c>
      <c r="B72" s="4" t="inlineStr">
        <is>
          <t>CUST0074</t>
        </is>
      </c>
      <c r="C72" s="4" t="inlineStr">
        <is>
          <t>2026-06-01 02:30:00</t>
        </is>
      </c>
      <c r="D72" s="4">
        <f>TEXT(LEFT(C72,10),"YYYY-MM-DD")</f>
        <v/>
      </c>
      <c r="E72" s="5">
        <f>HOUR(C72)</f>
        <v/>
      </c>
      <c r="F72" s="4" t="inlineStr">
        <is>
          <t>Male</t>
        </is>
      </c>
      <c r="G72" s="5" t="n">
        <v>67</v>
      </c>
      <c r="H72" s="4">
        <f>IF(G72&gt;=60, "Boomer", IF(G72&gt;=45, "Gen X", IF(G72&gt;=25, "Millennial", "Gen Z")))</f>
        <v/>
      </c>
      <c r="I72" s="4" t="inlineStr">
        <is>
          <t>Investment</t>
        </is>
      </c>
      <c r="J72" s="4" t="inlineStr">
        <is>
          <t>Groceries</t>
        </is>
      </c>
      <c r="K72" s="6" t="n">
        <v>7999.26</v>
      </c>
      <c r="L72" s="6" t="n">
        <v>17823.04</v>
      </c>
      <c r="M72" s="4" t="inlineStr">
        <is>
          <t>Mobile App</t>
        </is>
      </c>
      <c r="N72" s="4" t="inlineStr">
        <is>
          <t>Y</t>
        </is>
      </c>
      <c r="O72" s="4">
        <f>TEXT(D72, "dddd")</f>
        <v/>
      </c>
      <c r="P72" s="4">
        <f>"Q"&amp;ROUNDUP(MONTH(D72)/3, 0)</f>
        <v/>
      </c>
    </row>
    <row r="73">
      <c r="A73" s="7" t="inlineStr">
        <is>
          <t>TXN100075</t>
        </is>
      </c>
      <c r="B73" s="7" t="inlineStr">
        <is>
          <t>CUST0075</t>
        </is>
      </c>
      <c r="C73" s="7" t="inlineStr">
        <is>
          <t>2026-06-01 20:02:00</t>
        </is>
      </c>
      <c r="D73" s="7">
        <f>TEXT(LEFT(C73,10),"YYYY-MM-DD")</f>
        <v/>
      </c>
      <c r="E73" s="8">
        <f>HOUR(C73)</f>
        <v/>
      </c>
      <c r="F73" s="7" t="inlineStr">
        <is>
          <t>Male</t>
        </is>
      </c>
      <c r="G73" s="8" t="n">
        <v>35</v>
      </c>
      <c r="H73" s="7">
        <f>IF(G73&gt;=60, "Boomer", IF(G73&gt;=45, "Gen X", IF(G73&gt;=25, "Millennial", "Gen Z")))</f>
        <v/>
      </c>
      <c r="I73" s="7" t="inlineStr">
        <is>
          <t>Savings</t>
        </is>
      </c>
      <c r="J73" s="7" t="inlineStr">
        <is>
          <t>Groceries</t>
        </is>
      </c>
      <c r="K73" s="9" t="n">
        <v>4974.47</v>
      </c>
      <c r="L73" s="9" t="n">
        <v>12307.97</v>
      </c>
      <c r="M73" s="7" t="inlineStr">
        <is>
          <t>ATM</t>
        </is>
      </c>
      <c r="N73" s="7" t="inlineStr">
        <is>
          <t>N</t>
        </is>
      </c>
      <c r="O73" s="7">
        <f>TEXT(D73, "dddd")</f>
        <v/>
      </c>
      <c r="P73" s="7">
        <f>"Q"&amp;ROUNDUP(MONTH(D73)/3, 0)</f>
        <v/>
      </c>
    </row>
    <row r="74">
      <c r="A74" s="4" t="inlineStr">
        <is>
          <t>TXN100076</t>
        </is>
      </c>
      <c r="B74" s="4" t="inlineStr">
        <is>
          <t>CUST0076</t>
        </is>
      </c>
      <c r="C74" s="4" t="inlineStr">
        <is>
          <t>2026-06-01 21:07:00</t>
        </is>
      </c>
      <c r="D74" s="4">
        <f>TEXT(LEFT(C74,10),"YYYY-MM-DD")</f>
        <v/>
      </c>
      <c r="E74" s="5">
        <f>HOUR(C74)</f>
        <v/>
      </c>
      <c r="F74" s="4" t="inlineStr">
        <is>
          <t>Female</t>
        </is>
      </c>
      <c r="G74" s="5" t="n">
        <v>49</v>
      </c>
      <c r="H74" s="4">
        <f>IF(G74&gt;=60, "Boomer", IF(G74&gt;=45, "Gen X", IF(G74&gt;=25, "Millennial", "Gen Z")))</f>
        <v/>
      </c>
      <c r="I74" s="4" t="inlineStr">
        <is>
          <t>Investment</t>
        </is>
      </c>
      <c r="J74" s="4" t="inlineStr">
        <is>
          <t>Entertainment</t>
        </is>
      </c>
      <c r="K74" s="6" t="n">
        <v>6137.52</v>
      </c>
      <c r="L74" s="6" t="n">
        <v>8805.559999999999</v>
      </c>
      <c r="M74" s="4" t="inlineStr">
        <is>
          <t>Mobile App</t>
        </is>
      </c>
      <c r="N74" s="4" t="inlineStr">
        <is>
          <t>N</t>
        </is>
      </c>
      <c r="O74" s="4">
        <f>TEXT(D74, "dddd")</f>
        <v/>
      </c>
      <c r="P74" s="4">
        <f>"Q"&amp;ROUNDUP(MONTH(D74)/3, 0)</f>
        <v/>
      </c>
    </row>
    <row r="75">
      <c r="A75" s="7" t="inlineStr">
        <is>
          <t>TXN100077</t>
        </is>
      </c>
      <c r="B75" s="7" t="inlineStr">
        <is>
          <t>CUST0077</t>
        </is>
      </c>
      <c r="C75" s="7" t="inlineStr">
        <is>
          <t>2026-06-01 05:19:00</t>
        </is>
      </c>
      <c r="D75" s="7">
        <f>TEXT(LEFT(C75,10),"YYYY-MM-DD")</f>
        <v/>
      </c>
      <c r="E75" s="8">
        <f>HOUR(C75)</f>
        <v/>
      </c>
      <c r="F75" s="7" t="inlineStr">
        <is>
          <t>Male</t>
        </is>
      </c>
      <c r="G75" s="8" t="n">
        <v>57</v>
      </c>
      <c r="H75" s="7">
        <f>IF(G75&gt;=60, "Boomer", IF(G75&gt;=45, "Gen X", IF(G75&gt;=25, "Millennial", "Gen Z")))</f>
        <v/>
      </c>
      <c r="I75" s="7" t="inlineStr">
        <is>
          <t>Savings</t>
        </is>
      </c>
      <c r="J75" s="7" t="inlineStr">
        <is>
          <t>Entertainment</t>
        </is>
      </c>
      <c r="K75" s="9" t="n">
        <v>4610.62</v>
      </c>
      <c r="L75" s="9" t="n">
        <v>45447.29</v>
      </c>
      <c r="M75" s="7" t="inlineStr">
        <is>
          <t>ATM</t>
        </is>
      </c>
      <c r="N75" s="7" t="inlineStr">
        <is>
          <t>N</t>
        </is>
      </c>
      <c r="O75" s="7">
        <f>TEXT(D75, "dddd")</f>
        <v/>
      </c>
      <c r="P75" s="7">
        <f>"Q"&amp;ROUNDUP(MONTH(D75)/3, 0)</f>
        <v/>
      </c>
    </row>
    <row r="76">
      <c r="A76" s="4" t="inlineStr">
        <is>
          <t>TXN100078</t>
        </is>
      </c>
      <c r="B76" s="4" t="inlineStr">
        <is>
          <t>CUST0078</t>
        </is>
      </c>
      <c r="C76" s="4" t="inlineStr">
        <is>
          <t>2026-06-01 12:45:00</t>
        </is>
      </c>
      <c r="D76" s="4">
        <f>TEXT(LEFT(C76,10),"YYYY-MM-DD")</f>
        <v/>
      </c>
      <c r="E76" s="5">
        <f>HOUR(C76)</f>
        <v/>
      </c>
      <c r="F76" s="4" t="inlineStr">
        <is>
          <t>Female</t>
        </is>
      </c>
      <c r="G76" s="5" t="n">
        <v>47</v>
      </c>
      <c r="H76" s="4">
        <f>IF(G76&gt;=60, "Boomer", IF(G76&gt;=45, "Gen X", IF(G76&gt;=25, "Millennial", "Gen Z")))</f>
        <v/>
      </c>
      <c r="I76" s="4" t="inlineStr">
        <is>
          <t>Investment</t>
        </is>
      </c>
      <c r="J76" s="4" t="inlineStr">
        <is>
          <t>Groceries</t>
        </is>
      </c>
      <c r="K76" s="6" t="n">
        <v>824.1900000000001</v>
      </c>
      <c r="L76" s="6" t="n">
        <v>38737.8</v>
      </c>
      <c r="M76" s="4" t="inlineStr">
        <is>
          <t>Mobile App</t>
        </is>
      </c>
      <c r="N76" s="4" t="inlineStr">
        <is>
          <t>N</t>
        </is>
      </c>
      <c r="O76" s="4">
        <f>TEXT(D76, "dddd")</f>
        <v/>
      </c>
      <c r="P76" s="4">
        <f>"Q"&amp;ROUNDUP(MONTH(D76)/3, 0)</f>
        <v/>
      </c>
    </row>
    <row r="77">
      <c r="A77" s="7" t="inlineStr">
        <is>
          <t>TXN100079</t>
        </is>
      </c>
      <c r="B77" s="7" t="inlineStr">
        <is>
          <t>CUST0079</t>
        </is>
      </c>
      <c r="C77" s="7" t="inlineStr">
        <is>
          <t>2026-06-01 18:50:00</t>
        </is>
      </c>
      <c r="D77" s="7">
        <f>TEXT(LEFT(C77,10),"YYYY-MM-DD")</f>
        <v/>
      </c>
      <c r="E77" s="8">
        <f>HOUR(C77)</f>
        <v/>
      </c>
      <c r="F77" s="7" t="inlineStr">
        <is>
          <t>Male</t>
        </is>
      </c>
      <c r="G77" s="8" t="n">
        <v>42</v>
      </c>
      <c r="H77" s="7">
        <f>IF(G77&gt;=60, "Boomer", IF(G77&gt;=45, "Gen X", IF(G77&gt;=25, "Millennial", "Gen Z")))</f>
        <v/>
      </c>
      <c r="I77" s="7" t="inlineStr">
        <is>
          <t>Investment</t>
        </is>
      </c>
      <c r="J77" s="7" t="inlineStr">
        <is>
          <t>Utilities</t>
        </is>
      </c>
      <c r="K77" s="9" t="n">
        <v>5295.56</v>
      </c>
      <c r="L77" s="9" t="n">
        <v>3913.36</v>
      </c>
      <c r="M77" s="7" t="inlineStr">
        <is>
          <t>Branch Office</t>
        </is>
      </c>
      <c r="N77" s="7" t="inlineStr">
        <is>
          <t>N</t>
        </is>
      </c>
      <c r="O77" s="7">
        <f>TEXT(D77, "dddd")</f>
        <v/>
      </c>
      <c r="P77" s="7">
        <f>"Q"&amp;ROUNDUP(MONTH(D77)/3, 0)</f>
        <v/>
      </c>
    </row>
    <row r="78">
      <c r="A78" s="4" t="inlineStr">
        <is>
          <t>TXN100080</t>
        </is>
      </c>
      <c r="B78" s="4" t="inlineStr">
        <is>
          <t>CUST0080</t>
        </is>
      </c>
      <c r="C78" s="4" t="inlineStr">
        <is>
          <t>2026-06-01 00:54:00</t>
        </is>
      </c>
      <c r="D78" s="4">
        <f>TEXT(LEFT(C78,10),"YYYY-MM-DD")</f>
        <v/>
      </c>
      <c r="E78" s="5">
        <f>HOUR(C78)</f>
        <v/>
      </c>
      <c r="F78" s="4" t="inlineStr">
        <is>
          <t>Unspecified</t>
        </is>
      </c>
      <c r="G78" s="5" t="n">
        <v>72</v>
      </c>
      <c r="H78" s="4">
        <f>IF(G78&gt;=60, "Boomer", IF(G78&gt;=45, "Gen X", IF(G78&gt;=25, "Millennial", "Gen Z")))</f>
        <v/>
      </c>
      <c r="I78" s="4" t="inlineStr">
        <is>
          <t>Checking</t>
        </is>
      </c>
      <c r="J78" s="4" t="inlineStr">
        <is>
          <t>Groceries</t>
        </is>
      </c>
      <c r="K78" s="6" t="n">
        <v>3473.85</v>
      </c>
      <c r="L78" s="6" t="n">
        <v>18428.31</v>
      </c>
      <c r="M78" s="4" t="inlineStr">
        <is>
          <t>ATM</t>
        </is>
      </c>
      <c r="N78" s="4" t="inlineStr">
        <is>
          <t>N</t>
        </is>
      </c>
      <c r="O78" s="4">
        <f>TEXT(D78, "dddd")</f>
        <v/>
      </c>
      <c r="P78" s="4">
        <f>"Q"&amp;ROUNDUP(MONTH(D78)/3, 0)</f>
        <v/>
      </c>
    </row>
    <row r="79">
      <c r="A79" s="7" t="inlineStr">
        <is>
          <t>TXN100081</t>
        </is>
      </c>
      <c r="B79" s="7" t="inlineStr">
        <is>
          <t>CUST0081</t>
        </is>
      </c>
      <c r="C79" s="7" t="inlineStr">
        <is>
          <t>2026-06-01 22:09:00</t>
        </is>
      </c>
      <c r="D79" s="7">
        <f>TEXT(LEFT(C79,10),"YYYY-MM-DD")</f>
        <v/>
      </c>
      <c r="E79" s="8">
        <f>HOUR(C79)</f>
        <v/>
      </c>
      <c r="F79" s="7" t="inlineStr">
        <is>
          <t>Unspecified</t>
        </is>
      </c>
      <c r="G79" s="8" t="n">
        <v>31</v>
      </c>
      <c r="H79" s="7">
        <f>IF(G79&gt;=60, "Boomer", IF(G79&gt;=45, "Gen X", IF(G79&gt;=25, "Millennial", "Gen Z")))</f>
        <v/>
      </c>
      <c r="I79" s="7" t="inlineStr">
        <is>
          <t>Investment</t>
        </is>
      </c>
      <c r="J79" s="7" t="inlineStr">
        <is>
          <t>Travel</t>
        </is>
      </c>
      <c r="K79" s="9" t="n">
        <v>7724.14</v>
      </c>
      <c r="L79" s="9" t="n">
        <v>13869.08</v>
      </c>
      <c r="M79" s="7" t="inlineStr">
        <is>
          <t>ATM</t>
        </is>
      </c>
      <c r="N79" s="7" t="inlineStr">
        <is>
          <t>N</t>
        </is>
      </c>
      <c r="O79" s="7">
        <f>TEXT(D79, "dddd")</f>
        <v/>
      </c>
      <c r="P79" s="7">
        <f>"Q"&amp;ROUNDUP(MONTH(D79)/3, 0)</f>
        <v/>
      </c>
    </row>
    <row r="80">
      <c r="A80" s="4" t="inlineStr">
        <is>
          <t>TXN100082</t>
        </is>
      </c>
      <c r="B80" s="4" t="inlineStr">
        <is>
          <t>CUST0082</t>
        </is>
      </c>
      <c r="C80" s="4" t="inlineStr">
        <is>
          <t>2026-06-01 23:37:00</t>
        </is>
      </c>
      <c r="D80" s="4">
        <f>TEXT(LEFT(C80,10),"YYYY-MM-DD")</f>
        <v/>
      </c>
      <c r="E80" s="5">
        <f>HOUR(C80)</f>
        <v/>
      </c>
      <c r="F80" s="4" t="inlineStr">
        <is>
          <t>Female</t>
        </is>
      </c>
      <c r="G80" s="5" t="n">
        <v>40</v>
      </c>
      <c r="H80" s="4">
        <f>IF(G80&gt;=60, "Boomer", IF(G80&gt;=45, "Gen X", IF(G80&gt;=25, "Millennial", "Gen Z")))</f>
        <v/>
      </c>
      <c r="I80" s="4" t="inlineStr">
        <is>
          <t>Savings</t>
        </is>
      </c>
      <c r="J80" s="4" t="inlineStr">
        <is>
          <t>Groceries</t>
        </is>
      </c>
      <c r="K80" s="6" t="n">
        <v>2238.64</v>
      </c>
      <c r="L80" s="6" t="n">
        <v>22814.7</v>
      </c>
      <c r="M80" s="4" t="inlineStr">
        <is>
          <t>ATM</t>
        </is>
      </c>
      <c r="N80" s="4" t="inlineStr">
        <is>
          <t>N</t>
        </is>
      </c>
      <c r="O80" s="4">
        <f>TEXT(D80, "dddd")</f>
        <v/>
      </c>
      <c r="P80" s="4">
        <f>"Q"&amp;ROUNDUP(MONTH(D80)/3, 0)</f>
        <v/>
      </c>
    </row>
    <row r="81">
      <c r="A81" s="7" t="inlineStr">
        <is>
          <t>TXN100083</t>
        </is>
      </c>
      <c r="B81" s="7" t="inlineStr">
        <is>
          <t>CUST0083</t>
        </is>
      </c>
      <c r="C81" s="7" t="inlineStr">
        <is>
          <t>2026-06-01 18:39:00</t>
        </is>
      </c>
      <c r="D81" s="7">
        <f>TEXT(LEFT(C81,10),"YYYY-MM-DD")</f>
        <v/>
      </c>
      <c r="E81" s="8">
        <f>HOUR(C81)</f>
        <v/>
      </c>
      <c r="F81" s="7" t="inlineStr">
        <is>
          <t>Unspecified</t>
        </is>
      </c>
      <c r="G81" s="8" t="n">
        <v>41</v>
      </c>
      <c r="H81" s="7">
        <f>IF(G81&gt;=60, "Boomer", IF(G81&gt;=45, "Gen X", IF(G81&gt;=25, "Millennial", "Gen Z")))</f>
        <v/>
      </c>
      <c r="I81" s="7" t="inlineStr">
        <is>
          <t>Savings</t>
        </is>
      </c>
      <c r="J81" s="7" t="inlineStr">
        <is>
          <t>Utilities</t>
        </is>
      </c>
      <c r="K81" s="9" t="n">
        <v>6809.11</v>
      </c>
      <c r="L81" s="9" t="n">
        <v>9501.07</v>
      </c>
      <c r="M81" s="7" t="inlineStr">
        <is>
          <t>Online Banking</t>
        </is>
      </c>
      <c r="N81" s="7" t="inlineStr">
        <is>
          <t>N</t>
        </is>
      </c>
      <c r="O81" s="7">
        <f>TEXT(D81, "dddd")</f>
        <v/>
      </c>
      <c r="P81" s="7">
        <f>"Q"&amp;ROUNDUP(MONTH(D81)/3, 0)</f>
        <v/>
      </c>
    </row>
    <row r="82">
      <c r="A82" s="4" t="inlineStr">
        <is>
          <t>TXN100084</t>
        </is>
      </c>
      <c r="B82" s="4" t="inlineStr">
        <is>
          <t>CUST0084</t>
        </is>
      </c>
      <c r="C82" s="4" t="inlineStr">
        <is>
          <t>2026-06-01 11:51:00</t>
        </is>
      </c>
      <c r="D82" s="4">
        <f>TEXT(LEFT(C82,10),"YYYY-MM-DD")</f>
        <v/>
      </c>
      <c r="E82" s="5">
        <f>HOUR(C82)</f>
        <v/>
      </c>
      <c r="F82" s="4" t="inlineStr">
        <is>
          <t>Female</t>
        </is>
      </c>
      <c r="G82" s="5" t="n">
        <v>41</v>
      </c>
      <c r="H82" s="4">
        <f>IF(G82&gt;=60, "Boomer", IF(G82&gt;=45, "Gen X", IF(G82&gt;=25, "Millennial", "Gen Z")))</f>
        <v/>
      </c>
      <c r="I82" s="4" t="inlineStr">
        <is>
          <t>Checking</t>
        </is>
      </c>
      <c r="J82" s="4" t="inlineStr">
        <is>
          <t>Travel</t>
        </is>
      </c>
      <c r="K82" s="6" t="n">
        <v>5612.46</v>
      </c>
      <c r="L82" s="6" t="n">
        <v>14175.29</v>
      </c>
      <c r="M82" s="4" t="inlineStr">
        <is>
          <t>Mobile App</t>
        </is>
      </c>
      <c r="N82" s="4" t="inlineStr">
        <is>
          <t>N</t>
        </is>
      </c>
      <c r="O82" s="4">
        <f>TEXT(D82, "dddd")</f>
        <v/>
      </c>
      <c r="P82" s="4">
        <f>"Q"&amp;ROUNDUP(MONTH(D82)/3, 0)</f>
        <v/>
      </c>
    </row>
    <row r="83">
      <c r="A83" s="7" t="inlineStr">
        <is>
          <t>TXN100085</t>
        </is>
      </c>
      <c r="B83" s="7" t="inlineStr">
        <is>
          <t>CUST0085</t>
        </is>
      </c>
      <c r="C83" s="7" t="inlineStr">
        <is>
          <t>2026-06-01 16:12:00</t>
        </is>
      </c>
      <c r="D83" s="7">
        <f>TEXT(LEFT(C83,10),"YYYY-MM-DD")</f>
        <v/>
      </c>
      <c r="E83" s="8">
        <f>HOUR(C83)</f>
        <v/>
      </c>
      <c r="F83" s="7" t="inlineStr">
        <is>
          <t>Male</t>
        </is>
      </c>
      <c r="G83" s="8" t="n">
        <v>35</v>
      </c>
      <c r="H83" s="7">
        <f>IF(G83&gt;=60, "Boomer", IF(G83&gt;=45, "Gen X", IF(G83&gt;=25, "Millennial", "Gen Z")))</f>
        <v/>
      </c>
      <c r="I83" s="7" t="inlineStr">
        <is>
          <t>Investment</t>
        </is>
      </c>
      <c r="J83" s="7" t="inlineStr">
        <is>
          <t>Utilities</t>
        </is>
      </c>
      <c r="K83" s="9" t="n">
        <v>3913.74</v>
      </c>
      <c r="L83" s="9" t="n">
        <v>38029.15</v>
      </c>
      <c r="M83" s="7" t="inlineStr">
        <is>
          <t>ATM</t>
        </is>
      </c>
      <c r="N83" s="7" t="inlineStr">
        <is>
          <t>N</t>
        </is>
      </c>
      <c r="O83" s="7">
        <f>TEXT(D83, "dddd")</f>
        <v/>
      </c>
      <c r="P83" s="7">
        <f>"Q"&amp;ROUNDUP(MONTH(D83)/3, 0)</f>
        <v/>
      </c>
    </row>
    <row r="84">
      <c r="A84" s="4" t="inlineStr">
        <is>
          <t>TXN100086</t>
        </is>
      </c>
      <c r="B84" s="4" t="inlineStr">
        <is>
          <t>CUST0086</t>
        </is>
      </c>
      <c r="C84" s="4" t="inlineStr">
        <is>
          <t>2026-06-01 20:45:00</t>
        </is>
      </c>
      <c r="D84" s="4">
        <f>TEXT(LEFT(C84,10),"YYYY-MM-DD")</f>
        <v/>
      </c>
      <c r="E84" s="5">
        <f>HOUR(C84)</f>
        <v/>
      </c>
      <c r="F84" s="4" t="inlineStr">
        <is>
          <t>Unspecified</t>
        </is>
      </c>
      <c r="G84" s="5" t="n">
        <v>48</v>
      </c>
      <c r="H84" s="4">
        <f>IF(G84&gt;=60, "Boomer", IF(G84&gt;=45, "Gen X", IF(G84&gt;=25, "Millennial", "Gen Z")))</f>
        <v/>
      </c>
      <c r="I84" s="4" t="inlineStr">
        <is>
          <t>Savings</t>
        </is>
      </c>
      <c r="J84" s="4" t="inlineStr">
        <is>
          <t>Groceries</t>
        </is>
      </c>
      <c r="K84" s="6" t="n">
        <v>2360.94</v>
      </c>
      <c r="L84" s="6" t="n">
        <v>20517.86</v>
      </c>
      <c r="M84" s="4" t="inlineStr">
        <is>
          <t>Online Banking</t>
        </is>
      </c>
      <c r="N84" s="4" t="inlineStr">
        <is>
          <t>N</t>
        </is>
      </c>
      <c r="O84" s="4">
        <f>TEXT(D84, "dddd")</f>
        <v/>
      </c>
      <c r="P84" s="4">
        <f>"Q"&amp;ROUNDUP(MONTH(D84)/3, 0)</f>
        <v/>
      </c>
    </row>
    <row r="85">
      <c r="A85" s="7" t="inlineStr">
        <is>
          <t>TXN100087</t>
        </is>
      </c>
      <c r="B85" s="7" t="inlineStr">
        <is>
          <t>CUST0087</t>
        </is>
      </c>
      <c r="C85" s="7" t="inlineStr">
        <is>
          <t>2026-06-01 09:42:00</t>
        </is>
      </c>
      <c r="D85" s="7">
        <f>TEXT(LEFT(C85,10),"YYYY-MM-DD")</f>
        <v/>
      </c>
      <c r="E85" s="8">
        <f>HOUR(C85)</f>
        <v/>
      </c>
      <c r="F85" s="7" t="inlineStr">
        <is>
          <t>Female</t>
        </is>
      </c>
      <c r="G85" s="8" t="n">
        <v>50</v>
      </c>
      <c r="H85" s="7">
        <f>IF(G85&gt;=60, "Boomer", IF(G85&gt;=45, "Gen X", IF(G85&gt;=25, "Millennial", "Gen Z")))</f>
        <v/>
      </c>
      <c r="I85" s="7" t="inlineStr">
        <is>
          <t>Investment</t>
        </is>
      </c>
      <c r="J85" s="7" t="inlineStr">
        <is>
          <t>Travel</t>
        </is>
      </c>
      <c r="K85" s="9" t="n">
        <v>2756.62</v>
      </c>
      <c r="L85" s="9" t="n">
        <v>49833.26</v>
      </c>
      <c r="M85" s="7" t="inlineStr">
        <is>
          <t>Branch Office</t>
        </is>
      </c>
      <c r="N85" s="7" t="inlineStr">
        <is>
          <t>N</t>
        </is>
      </c>
      <c r="O85" s="7">
        <f>TEXT(D85, "dddd")</f>
        <v/>
      </c>
      <c r="P85" s="7">
        <f>"Q"&amp;ROUNDUP(MONTH(D85)/3, 0)</f>
        <v/>
      </c>
    </row>
    <row r="86">
      <c r="A86" s="4" t="inlineStr">
        <is>
          <t>TXN100088</t>
        </is>
      </c>
      <c r="B86" s="4" t="inlineStr">
        <is>
          <t>CUST0088</t>
        </is>
      </c>
      <c r="C86" s="4" t="inlineStr">
        <is>
          <t>2026-06-01 11:44:00</t>
        </is>
      </c>
      <c r="D86" s="4">
        <f>TEXT(LEFT(C86,10),"YYYY-MM-DD")</f>
        <v/>
      </c>
      <c r="E86" s="5">
        <f>HOUR(C86)</f>
        <v/>
      </c>
      <c r="F86" s="4" t="inlineStr">
        <is>
          <t>Unspecified</t>
        </is>
      </c>
      <c r="G86" s="5" t="n">
        <v>37</v>
      </c>
      <c r="H86" s="4">
        <f>IF(G86&gt;=60, "Boomer", IF(G86&gt;=45, "Gen X", IF(G86&gt;=25, "Millennial", "Gen Z")))</f>
        <v/>
      </c>
      <c r="I86" s="4" t="inlineStr">
        <is>
          <t>Checking</t>
        </is>
      </c>
      <c r="J86" s="4" t="inlineStr">
        <is>
          <t>Entertainment</t>
        </is>
      </c>
      <c r="K86" s="6" t="n">
        <v>1852</v>
      </c>
      <c r="L86" s="6" t="n">
        <v>36203.57</v>
      </c>
      <c r="M86" s="4" t="inlineStr">
        <is>
          <t>Branch Office</t>
        </is>
      </c>
      <c r="N86" s="4" t="inlineStr">
        <is>
          <t>N</t>
        </is>
      </c>
      <c r="O86" s="4">
        <f>TEXT(D86, "dddd")</f>
        <v/>
      </c>
      <c r="P86" s="4">
        <f>"Q"&amp;ROUNDUP(MONTH(D86)/3, 0)</f>
        <v/>
      </c>
    </row>
    <row r="87">
      <c r="A87" s="7" t="inlineStr">
        <is>
          <t>TXN100089</t>
        </is>
      </c>
      <c r="B87" s="7" t="inlineStr">
        <is>
          <t>CUST0089</t>
        </is>
      </c>
      <c r="C87" s="7" t="inlineStr">
        <is>
          <t>2026-06-01 03:47:00</t>
        </is>
      </c>
      <c r="D87" s="7">
        <f>TEXT(LEFT(C87,10),"YYYY-MM-DD")</f>
        <v/>
      </c>
      <c r="E87" s="8">
        <f>HOUR(C87)</f>
        <v/>
      </c>
      <c r="F87" s="7" t="inlineStr">
        <is>
          <t>Male</t>
        </is>
      </c>
      <c r="G87" s="8" t="n">
        <v>32</v>
      </c>
      <c r="H87" s="7">
        <f>IF(G87&gt;=60, "Boomer", IF(G87&gt;=45, "Gen X", IF(G87&gt;=25, "Millennial", "Gen Z")))</f>
        <v/>
      </c>
      <c r="I87" s="7" t="inlineStr">
        <is>
          <t>Savings</t>
        </is>
      </c>
      <c r="J87" s="7" t="inlineStr">
        <is>
          <t>Utilities</t>
        </is>
      </c>
      <c r="K87" s="9" t="n">
        <v>2219.23</v>
      </c>
      <c r="L87" s="9" t="n">
        <v>29684.55</v>
      </c>
      <c r="M87" s="7" t="inlineStr">
        <is>
          <t>Branch Office</t>
        </is>
      </c>
      <c r="N87" s="7" t="inlineStr">
        <is>
          <t>N</t>
        </is>
      </c>
      <c r="O87" s="7">
        <f>TEXT(D87, "dddd")</f>
        <v/>
      </c>
      <c r="P87" s="7">
        <f>"Q"&amp;ROUNDUP(MONTH(D87)/3, 0)</f>
        <v/>
      </c>
    </row>
    <row r="88">
      <c r="A88" s="4" t="inlineStr">
        <is>
          <t>TXN100090</t>
        </is>
      </c>
      <c r="B88" s="4" t="inlineStr">
        <is>
          <t>CUST0090</t>
        </is>
      </c>
      <c r="C88" s="4" t="inlineStr">
        <is>
          <t>2026-06-01 03:53:00</t>
        </is>
      </c>
      <c r="D88" s="4">
        <f>TEXT(LEFT(C88,10),"YYYY-MM-DD")</f>
        <v/>
      </c>
      <c r="E88" s="5">
        <f>HOUR(C88)</f>
        <v/>
      </c>
      <c r="F88" s="4" t="inlineStr">
        <is>
          <t>Female</t>
        </is>
      </c>
      <c r="G88" s="5" t="n">
        <v>38</v>
      </c>
      <c r="H88" s="4">
        <f>IF(G88&gt;=60, "Boomer", IF(G88&gt;=45, "Gen X", IF(G88&gt;=25, "Millennial", "Gen Z")))</f>
        <v/>
      </c>
      <c r="I88" s="4" t="inlineStr">
        <is>
          <t>Savings</t>
        </is>
      </c>
      <c r="J88" s="4" t="inlineStr">
        <is>
          <t>Entertainment</t>
        </is>
      </c>
      <c r="K88" s="6" t="n">
        <v>1443.74</v>
      </c>
      <c r="L88" s="6" t="n">
        <v>1200.34</v>
      </c>
      <c r="M88" s="4" t="inlineStr">
        <is>
          <t>Online Banking</t>
        </is>
      </c>
      <c r="N88" s="4" t="inlineStr">
        <is>
          <t>N</t>
        </is>
      </c>
      <c r="O88" s="4">
        <f>TEXT(D88, "dddd")</f>
        <v/>
      </c>
      <c r="P88" s="4">
        <f>"Q"&amp;ROUNDUP(MONTH(D88)/3, 0)</f>
        <v/>
      </c>
    </row>
    <row r="89">
      <c r="A89" s="7" t="inlineStr">
        <is>
          <t>TXN100091</t>
        </is>
      </c>
      <c r="B89" s="7" t="inlineStr">
        <is>
          <t>CUST0091</t>
        </is>
      </c>
      <c r="C89" s="7" t="inlineStr">
        <is>
          <t>2026-06-01 08:02:00</t>
        </is>
      </c>
      <c r="D89" s="7">
        <f>TEXT(LEFT(C89,10),"YYYY-MM-DD")</f>
        <v/>
      </c>
      <c r="E89" s="8">
        <f>HOUR(C89)</f>
        <v/>
      </c>
      <c r="F89" s="7" t="inlineStr">
        <is>
          <t>Male</t>
        </is>
      </c>
      <c r="G89" s="8" t="n">
        <v>55</v>
      </c>
      <c r="H89" s="7">
        <f>IF(G89&gt;=60, "Boomer", IF(G89&gt;=45, "Gen X", IF(G89&gt;=25, "Millennial", "Gen Z")))</f>
        <v/>
      </c>
      <c r="I89" s="7" t="inlineStr">
        <is>
          <t>Checking</t>
        </is>
      </c>
      <c r="J89" s="7" t="inlineStr">
        <is>
          <t>Groceries</t>
        </is>
      </c>
      <c r="K89" s="9" t="n">
        <v>5106.58</v>
      </c>
      <c r="L89" s="9" t="n">
        <v>37763.21</v>
      </c>
      <c r="M89" s="7" t="inlineStr">
        <is>
          <t>Mobile App</t>
        </is>
      </c>
      <c r="N89" s="7" t="inlineStr">
        <is>
          <t>N</t>
        </is>
      </c>
      <c r="O89" s="7">
        <f>TEXT(D89, "dddd")</f>
        <v/>
      </c>
      <c r="P89" s="7">
        <f>"Q"&amp;ROUNDUP(MONTH(D89)/3, 0)</f>
        <v/>
      </c>
    </row>
    <row r="90">
      <c r="A90" s="4" t="inlineStr">
        <is>
          <t>TXN100092</t>
        </is>
      </c>
      <c r="B90" s="4" t="inlineStr">
        <is>
          <t>CUST0092</t>
        </is>
      </c>
      <c r="C90" s="4" t="inlineStr">
        <is>
          <t>2026-06-01 00:36:00</t>
        </is>
      </c>
      <c r="D90" s="4">
        <f>TEXT(LEFT(C90,10),"YYYY-MM-DD")</f>
        <v/>
      </c>
      <c r="E90" s="5">
        <f>HOUR(C90)</f>
        <v/>
      </c>
      <c r="F90" s="4" t="inlineStr">
        <is>
          <t>Female</t>
        </is>
      </c>
      <c r="G90" s="5" t="n">
        <v>50</v>
      </c>
      <c r="H90" s="4">
        <f>IF(G90&gt;=60, "Boomer", IF(G90&gt;=45, "Gen X", IF(G90&gt;=25, "Millennial", "Gen Z")))</f>
        <v/>
      </c>
      <c r="I90" s="4" t="inlineStr">
        <is>
          <t>Checking</t>
        </is>
      </c>
      <c r="J90" s="4" t="inlineStr">
        <is>
          <t>Utilities</t>
        </is>
      </c>
      <c r="K90" s="6" t="n">
        <v>2732.24</v>
      </c>
      <c r="L90" s="6" t="n">
        <v>48292.13</v>
      </c>
      <c r="M90" s="4" t="inlineStr">
        <is>
          <t>Branch Office</t>
        </is>
      </c>
      <c r="N90" s="4" t="inlineStr">
        <is>
          <t>N</t>
        </is>
      </c>
      <c r="O90" s="4">
        <f>TEXT(D90, "dddd")</f>
        <v/>
      </c>
      <c r="P90" s="4">
        <f>"Q"&amp;ROUNDUP(MONTH(D90)/3, 0)</f>
        <v/>
      </c>
    </row>
    <row r="91">
      <c r="A91" s="7" t="inlineStr">
        <is>
          <t>TXN100093</t>
        </is>
      </c>
      <c r="B91" s="7" t="inlineStr">
        <is>
          <t>CUST0093</t>
        </is>
      </c>
      <c r="C91" s="7" t="inlineStr">
        <is>
          <t>2026-06-01 15:07:00</t>
        </is>
      </c>
      <c r="D91" s="7">
        <f>TEXT(LEFT(C91,10),"YYYY-MM-DD")</f>
        <v/>
      </c>
      <c r="E91" s="8">
        <f>HOUR(C91)</f>
        <v/>
      </c>
      <c r="F91" s="7" t="inlineStr">
        <is>
          <t>Male</t>
        </is>
      </c>
      <c r="G91" s="8" t="n">
        <v>45</v>
      </c>
      <c r="H91" s="7">
        <f>IF(G91&gt;=60, "Boomer", IF(G91&gt;=45, "Gen X", IF(G91&gt;=25, "Millennial", "Gen Z")))</f>
        <v/>
      </c>
      <c r="I91" s="7" t="inlineStr">
        <is>
          <t>Checking</t>
        </is>
      </c>
      <c r="J91" s="7" t="inlineStr">
        <is>
          <t>Groceries</t>
        </is>
      </c>
      <c r="K91" s="9" t="n">
        <v>4620.4</v>
      </c>
      <c r="L91" s="9" t="n">
        <v>34479.33</v>
      </c>
      <c r="M91" s="7" t="inlineStr">
        <is>
          <t>Online Banking</t>
        </is>
      </c>
      <c r="N91" s="7" t="inlineStr">
        <is>
          <t>N</t>
        </is>
      </c>
      <c r="O91" s="7">
        <f>TEXT(D91, "dddd")</f>
        <v/>
      </c>
      <c r="P91" s="7">
        <f>"Q"&amp;ROUNDUP(MONTH(D91)/3, 0)</f>
        <v/>
      </c>
    </row>
    <row r="92">
      <c r="A92" s="4" t="inlineStr">
        <is>
          <t>TXN100094</t>
        </is>
      </c>
      <c r="B92" s="4" t="inlineStr">
        <is>
          <t>CUST0094</t>
        </is>
      </c>
      <c r="C92" s="4" t="inlineStr">
        <is>
          <t>2026-06-01 04:51:00</t>
        </is>
      </c>
      <c r="D92" s="4">
        <f>TEXT(LEFT(C92,10),"YYYY-MM-DD")</f>
        <v/>
      </c>
      <c r="E92" s="5">
        <f>HOUR(C92)</f>
        <v/>
      </c>
      <c r="F92" s="4" t="inlineStr">
        <is>
          <t>Female</t>
        </is>
      </c>
      <c r="G92" s="5" t="n">
        <v>25</v>
      </c>
      <c r="H92" s="4">
        <f>IF(G92&gt;=60, "Boomer", IF(G92&gt;=45, "Gen X", IF(G92&gt;=25, "Millennial", "Gen Z")))</f>
        <v/>
      </c>
      <c r="I92" s="4" t="inlineStr">
        <is>
          <t>Savings</t>
        </is>
      </c>
      <c r="J92" s="4" t="inlineStr">
        <is>
          <t>Groceries</t>
        </is>
      </c>
      <c r="K92" s="6" t="n">
        <v>4469</v>
      </c>
      <c r="L92" s="6" t="n">
        <v>21100.61</v>
      </c>
      <c r="M92" s="4" t="inlineStr">
        <is>
          <t>Online Banking</t>
        </is>
      </c>
      <c r="N92" s="4" t="inlineStr">
        <is>
          <t>N</t>
        </is>
      </c>
      <c r="O92" s="4">
        <f>TEXT(D92, "dddd")</f>
        <v/>
      </c>
      <c r="P92" s="4">
        <f>"Q"&amp;ROUNDUP(MONTH(D92)/3, 0)</f>
        <v/>
      </c>
    </row>
    <row r="93">
      <c r="A93" s="7" t="inlineStr">
        <is>
          <t>TXN100095</t>
        </is>
      </c>
      <c r="B93" s="7" t="inlineStr">
        <is>
          <t>CUST0095</t>
        </is>
      </c>
      <c r="C93" s="7" t="inlineStr">
        <is>
          <t>2026-06-01 16:24:00</t>
        </is>
      </c>
      <c r="D93" s="7">
        <f>TEXT(LEFT(C93,10),"YYYY-MM-DD")</f>
        <v/>
      </c>
      <c r="E93" s="8">
        <f>HOUR(C93)</f>
        <v/>
      </c>
      <c r="F93" s="7" t="inlineStr">
        <is>
          <t>Unspecified</t>
        </is>
      </c>
      <c r="G93" s="8" t="n">
        <v>48</v>
      </c>
      <c r="H93" s="7">
        <f>IF(G93&gt;=60, "Boomer", IF(G93&gt;=45, "Gen X", IF(G93&gt;=25, "Millennial", "Gen Z")))</f>
        <v/>
      </c>
      <c r="I93" s="7" t="inlineStr">
        <is>
          <t>Checking</t>
        </is>
      </c>
      <c r="J93" s="7" t="inlineStr">
        <is>
          <t>Travel</t>
        </is>
      </c>
      <c r="K93" s="9" t="n">
        <v>7920.35</v>
      </c>
      <c r="L93" s="9" t="n">
        <v>15616.32</v>
      </c>
      <c r="M93" s="7" t="inlineStr">
        <is>
          <t>Mobile App</t>
        </is>
      </c>
      <c r="N93" s="7" t="inlineStr">
        <is>
          <t>Y</t>
        </is>
      </c>
      <c r="O93" s="7">
        <f>TEXT(D93, "dddd")</f>
        <v/>
      </c>
      <c r="P93" s="7">
        <f>"Q"&amp;ROUNDUP(MONTH(D93)/3, 0)</f>
        <v/>
      </c>
    </row>
    <row r="94">
      <c r="A94" s="4" t="inlineStr">
        <is>
          <t>TXN100096</t>
        </is>
      </c>
      <c r="B94" s="4" t="inlineStr">
        <is>
          <t>CUST0096</t>
        </is>
      </c>
      <c r="C94" s="4" t="inlineStr">
        <is>
          <t>2026-06-01 23:06:00</t>
        </is>
      </c>
      <c r="D94" s="4">
        <f>TEXT(LEFT(C94,10),"YYYY-MM-DD")</f>
        <v/>
      </c>
      <c r="E94" s="5">
        <f>HOUR(C94)</f>
        <v/>
      </c>
      <c r="F94" s="4" t="inlineStr">
        <is>
          <t>Female</t>
        </is>
      </c>
      <c r="G94" s="5" t="n">
        <v>60</v>
      </c>
      <c r="H94" s="4">
        <f>IF(G94&gt;=60, "Boomer", IF(G94&gt;=45, "Gen X", IF(G94&gt;=25, "Millennial", "Gen Z")))</f>
        <v/>
      </c>
      <c r="I94" s="4" t="inlineStr">
        <is>
          <t>Savings</t>
        </is>
      </c>
      <c r="J94" s="4" t="inlineStr">
        <is>
          <t>Entertainment</t>
        </is>
      </c>
      <c r="K94" s="6" t="n">
        <v>5286.82</v>
      </c>
      <c r="L94" s="6" t="n">
        <v>8274.33</v>
      </c>
      <c r="M94" s="4" t="inlineStr">
        <is>
          <t>Online Banking</t>
        </is>
      </c>
      <c r="N94" s="4" t="inlineStr">
        <is>
          <t>N</t>
        </is>
      </c>
      <c r="O94" s="4">
        <f>TEXT(D94, "dddd")</f>
        <v/>
      </c>
      <c r="P94" s="4">
        <f>"Q"&amp;ROUNDUP(MONTH(D94)/3, 0)</f>
        <v/>
      </c>
    </row>
    <row r="95">
      <c r="A95" s="7" t="inlineStr">
        <is>
          <t>TXN100097</t>
        </is>
      </c>
      <c r="B95" s="7" t="inlineStr">
        <is>
          <t>CUST0097</t>
        </is>
      </c>
      <c r="C95" s="7" t="inlineStr">
        <is>
          <t>2026-06-01 17:04:00</t>
        </is>
      </c>
      <c r="D95" s="7">
        <f>TEXT(LEFT(C95,10),"YYYY-MM-DD")</f>
        <v/>
      </c>
      <c r="E95" s="8">
        <f>HOUR(C95)</f>
        <v/>
      </c>
      <c r="F95" s="7" t="inlineStr">
        <is>
          <t>Male</t>
        </is>
      </c>
      <c r="G95" s="8" t="n">
        <v>20</v>
      </c>
      <c r="H95" s="7">
        <f>IF(G95&gt;=60, "Boomer", IF(G95&gt;=45, "Gen X", IF(G95&gt;=25, "Millennial", "Gen Z")))</f>
        <v/>
      </c>
      <c r="I95" s="7" t="inlineStr">
        <is>
          <t>Checking</t>
        </is>
      </c>
      <c r="J95" s="7" t="inlineStr">
        <is>
          <t>Utilities</t>
        </is>
      </c>
      <c r="K95" s="9" t="n">
        <v>5518.08</v>
      </c>
      <c r="L95" s="9" t="n">
        <v>23760.67</v>
      </c>
      <c r="M95" s="7" t="inlineStr">
        <is>
          <t>Mobile App</t>
        </is>
      </c>
      <c r="N95" s="7" t="inlineStr">
        <is>
          <t>N</t>
        </is>
      </c>
      <c r="O95" s="7">
        <f>TEXT(D95, "dddd")</f>
        <v/>
      </c>
      <c r="P95" s="7">
        <f>"Q"&amp;ROUNDUP(MONTH(D95)/3, 0)</f>
        <v/>
      </c>
    </row>
    <row r="96">
      <c r="A96" s="4" t="inlineStr">
        <is>
          <t>TXN100098</t>
        </is>
      </c>
      <c r="B96" s="4" t="inlineStr">
        <is>
          <t>CUST0098</t>
        </is>
      </c>
      <c r="C96" s="4" t="inlineStr">
        <is>
          <t>2026-06-01 07:18:00</t>
        </is>
      </c>
      <c r="D96" s="4">
        <f>TEXT(LEFT(C96,10),"YYYY-MM-DD")</f>
        <v/>
      </c>
      <c r="E96" s="5">
        <f>HOUR(C96)</f>
        <v/>
      </c>
      <c r="F96" s="4" t="inlineStr">
        <is>
          <t>Female</t>
        </is>
      </c>
      <c r="G96" s="5" t="n">
        <v>64</v>
      </c>
      <c r="H96" s="4">
        <f>IF(G96&gt;=60, "Boomer", IF(G96&gt;=45, "Gen X", IF(G96&gt;=25, "Millennial", "Gen Z")))</f>
        <v/>
      </c>
      <c r="I96" s="4" t="inlineStr">
        <is>
          <t>Checking</t>
        </is>
      </c>
      <c r="J96" s="4" t="inlineStr">
        <is>
          <t>Groceries</t>
        </is>
      </c>
      <c r="K96" s="6" t="n">
        <v>5502.21</v>
      </c>
      <c r="L96" s="6" t="n">
        <v>46233.6</v>
      </c>
      <c r="M96" s="4" t="inlineStr">
        <is>
          <t>Online Banking</t>
        </is>
      </c>
      <c r="N96" s="4" t="inlineStr">
        <is>
          <t>N</t>
        </is>
      </c>
      <c r="O96" s="4">
        <f>TEXT(D96, "dddd")</f>
        <v/>
      </c>
      <c r="P96" s="4">
        <f>"Q"&amp;ROUNDUP(MONTH(D96)/3, 0)</f>
        <v/>
      </c>
    </row>
    <row r="97">
      <c r="A97" s="7" t="inlineStr">
        <is>
          <t>TXN100099</t>
        </is>
      </c>
      <c r="B97" s="7" t="inlineStr">
        <is>
          <t>CUST0099</t>
        </is>
      </c>
      <c r="C97" s="7" t="inlineStr">
        <is>
          <t>2026-06-01 13:07:00</t>
        </is>
      </c>
      <c r="D97" s="7">
        <f>TEXT(LEFT(C97,10),"YYYY-MM-DD")</f>
        <v/>
      </c>
      <c r="E97" s="8">
        <f>HOUR(C97)</f>
        <v/>
      </c>
      <c r="F97" s="7" t="inlineStr">
        <is>
          <t>Female</t>
        </is>
      </c>
      <c r="G97" s="8" t="n">
        <v>61</v>
      </c>
      <c r="H97" s="7">
        <f>IF(G97&gt;=60, "Boomer", IF(G97&gt;=45, "Gen X", IF(G97&gt;=25, "Millennial", "Gen Z")))</f>
        <v/>
      </c>
      <c r="I97" s="7" t="inlineStr">
        <is>
          <t>Savings</t>
        </is>
      </c>
      <c r="J97" s="7" t="inlineStr">
        <is>
          <t>Entertainment</t>
        </is>
      </c>
      <c r="K97" s="9" t="n">
        <v>6614.78</v>
      </c>
      <c r="L97" s="9" t="n">
        <v>4034.79</v>
      </c>
      <c r="M97" s="7" t="inlineStr">
        <is>
          <t>Online Banking</t>
        </is>
      </c>
      <c r="N97" s="7" t="inlineStr">
        <is>
          <t>N</t>
        </is>
      </c>
      <c r="O97" s="7">
        <f>TEXT(D97, "dddd")</f>
        <v/>
      </c>
      <c r="P97" s="7">
        <f>"Q"&amp;ROUNDUP(MONTH(D97)/3, 0)</f>
        <v/>
      </c>
    </row>
    <row r="98">
      <c r="A98" s="4" t="inlineStr">
        <is>
          <t>TXN100100</t>
        </is>
      </c>
      <c r="B98" s="4" t="inlineStr">
        <is>
          <t>CUST0100</t>
        </is>
      </c>
      <c r="C98" s="4" t="inlineStr">
        <is>
          <t>2026-06-01 09:38:00</t>
        </is>
      </c>
      <c r="D98" s="4">
        <f>TEXT(LEFT(C98,10),"YYYY-MM-DD")</f>
        <v/>
      </c>
      <c r="E98" s="5">
        <f>HOUR(C98)</f>
        <v/>
      </c>
      <c r="F98" s="4" t="inlineStr">
        <is>
          <t>Female</t>
        </is>
      </c>
      <c r="G98" s="5" t="n">
        <v>48</v>
      </c>
      <c r="H98" s="4">
        <f>IF(G98&gt;=60, "Boomer", IF(G98&gt;=45, "Gen X", IF(G98&gt;=25, "Millennial", "Gen Z")))</f>
        <v/>
      </c>
      <c r="I98" s="4" t="inlineStr">
        <is>
          <t>Savings</t>
        </is>
      </c>
      <c r="J98" s="4" t="inlineStr">
        <is>
          <t>Utilities</t>
        </is>
      </c>
      <c r="K98" s="6" t="n">
        <v>5512.54</v>
      </c>
      <c r="L98" s="6" t="n">
        <v>35136.82</v>
      </c>
      <c r="M98" s="4" t="inlineStr">
        <is>
          <t>Branch Office</t>
        </is>
      </c>
      <c r="N98" s="4" t="inlineStr">
        <is>
          <t>N</t>
        </is>
      </c>
      <c r="O98" s="4">
        <f>TEXT(D98, "dddd")</f>
        <v/>
      </c>
      <c r="P98" s="4">
        <f>"Q"&amp;ROUNDUP(MONTH(D98)/3, 0)</f>
        <v/>
      </c>
    </row>
    <row r="99">
      <c r="A99" s="7" t="inlineStr">
        <is>
          <t>TXN100101</t>
        </is>
      </c>
      <c r="B99" s="7" t="inlineStr">
        <is>
          <t>CUST0101</t>
        </is>
      </c>
      <c r="C99" s="7" t="inlineStr">
        <is>
          <t>2026-06-01 16:34:00</t>
        </is>
      </c>
      <c r="D99" s="7">
        <f>TEXT(LEFT(C99,10),"YYYY-MM-DD")</f>
        <v/>
      </c>
      <c r="E99" s="8">
        <f>HOUR(C99)</f>
        <v/>
      </c>
      <c r="F99" s="7" t="inlineStr">
        <is>
          <t>Unspecified</t>
        </is>
      </c>
      <c r="G99" s="8" t="n">
        <v>48</v>
      </c>
      <c r="H99" s="7">
        <f>IF(G99&gt;=60, "Boomer", IF(G99&gt;=45, "Gen X", IF(G99&gt;=25, "Millennial", "Gen Z")))</f>
        <v/>
      </c>
      <c r="I99" s="7" t="inlineStr">
        <is>
          <t>Savings</t>
        </is>
      </c>
      <c r="J99" s="7" t="inlineStr">
        <is>
          <t>Travel</t>
        </is>
      </c>
      <c r="K99" s="9" t="n">
        <v>328.49</v>
      </c>
      <c r="L99" s="9" t="n">
        <v>21885.42</v>
      </c>
      <c r="M99" s="7" t="inlineStr">
        <is>
          <t>Branch Office</t>
        </is>
      </c>
      <c r="N99" s="7" t="inlineStr">
        <is>
          <t>N</t>
        </is>
      </c>
      <c r="O99" s="7">
        <f>TEXT(D99, "dddd")</f>
        <v/>
      </c>
      <c r="P99" s="7">
        <f>"Q"&amp;ROUNDUP(MONTH(D99)/3, 0)</f>
        <v/>
      </c>
    </row>
    <row r="100">
      <c r="A100" s="4" t="inlineStr">
        <is>
          <t>TXN100102</t>
        </is>
      </c>
      <c r="B100" s="4" t="inlineStr">
        <is>
          <t>CUST0102</t>
        </is>
      </c>
      <c r="C100" s="4" t="inlineStr">
        <is>
          <t>2026-06-01 19:16:00</t>
        </is>
      </c>
      <c r="D100" s="4">
        <f>TEXT(LEFT(C100,10),"YYYY-MM-DD")</f>
        <v/>
      </c>
      <c r="E100" s="5">
        <f>HOUR(C100)</f>
        <v/>
      </c>
      <c r="F100" s="4" t="inlineStr">
        <is>
          <t>Male</t>
        </is>
      </c>
      <c r="G100" s="5" t="n">
        <v>25</v>
      </c>
      <c r="H100" s="4">
        <f>IF(G100&gt;=60, "Boomer", IF(G100&gt;=45, "Gen X", IF(G100&gt;=25, "Millennial", "Gen Z")))</f>
        <v/>
      </c>
      <c r="I100" s="4" t="inlineStr">
        <is>
          <t>Savings</t>
        </is>
      </c>
      <c r="J100" s="4" t="inlineStr">
        <is>
          <t>Travel</t>
        </is>
      </c>
      <c r="K100" s="6" t="n">
        <v>4701.11</v>
      </c>
      <c r="L100" s="6" t="n">
        <v>1526.9</v>
      </c>
      <c r="M100" s="4" t="inlineStr">
        <is>
          <t>Branch Office</t>
        </is>
      </c>
      <c r="N100" s="4" t="inlineStr">
        <is>
          <t>N</t>
        </is>
      </c>
      <c r="O100" s="4">
        <f>TEXT(D100, "dddd")</f>
        <v/>
      </c>
      <c r="P100" s="4">
        <f>"Q"&amp;ROUNDUP(MONTH(D100)/3, 0)</f>
        <v/>
      </c>
    </row>
    <row r="101">
      <c r="A101" s="7" t="inlineStr">
        <is>
          <t>TXN100104</t>
        </is>
      </c>
      <c r="B101" s="7" t="inlineStr">
        <is>
          <t>CUST0104</t>
        </is>
      </c>
      <c r="C101" s="7" t="inlineStr">
        <is>
          <t>2026-06-01 18:02:00</t>
        </is>
      </c>
      <c r="D101" s="7">
        <f>TEXT(LEFT(C101,10),"YYYY-MM-DD")</f>
        <v/>
      </c>
      <c r="E101" s="8">
        <f>HOUR(C101)</f>
        <v/>
      </c>
      <c r="F101" s="7" t="inlineStr">
        <is>
          <t>Male</t>
        </is>
      </c>
      <c r="G101" s="8" t="n">
        <v>50</v>
      </c>
      <c r="H101" s="7">
        <f>IF(G101&gt;=60, "Boomer", IF(G101&gt;=45, "Gen X", IF(G101&gt;=25, "Millennial", "Gen Z")))</f>
        <v/>
      </c>
      <c r="I101" s="7" t="inlineStr">
        <is>
          <t>Investment</t>
        </is>
      </c>
      <c r="J101" s="7" t="inlineStr">
        <is>
          <t>Utilities</t>
        </is>
      </c>
      <c r="K101" s="9" t="n">
        <v>7329.42</v>
      </c>
      <c r="L101" s="9" t="n">
        <v>9483.709999999999</v>
      </c>
      <c r="M101" s="7" t="inlineStr">
        <is>
          <t>ATM</t>
        </is>
      </c>
      <c r="N101" s="7" t="inlineStr">
        <is>
          <t>Y</t>
        </is>
      </c>
      <c r="O101" s="7">
        <f>TEXT(D101, "dddd")</f>
        <v/>
      </c>
      <c r="P101" s="7">
        <f>"Q"&amp;ROUNDUP(MONTH(D101)/3, 0)</f>
        <v/>
      </c>
    </row>
    <row r="102">
      <c r="A102" s="4" t="inlineStr">
        <is>
          <t>TXN100105</t>
        </is>
      </c>
      <c r="B102" s="4" t="inlineStr">
        <is>
          <t>CUST0105</t>
        </is>
      </c>
      <c r="C102" s="4" t="inlineStr">
        <is>
          <t>2026-06-01 15:05:00</t>
        </is>
      </c>
      <c r="D102" s="4">
        <f>TEXT(LEFT(C102,10),"YYYY-MM-DD")</f>
        <v/>
      </c>
      <c r="E102" s="5">
        <f>HOUR(C102)</f>
        <v/>
      </c>
      <c r="F102" s="4" t="inlineStr">
        <is>
          <t>Unspecified</t>
        </is>
      </c>
      <c r="G102" s="5" t="n">
        <v>42</v>
      </c>
      <c r="H102" s="4">
        <f>IF(G102&gt;=60, "Boomer", IF(G102&gt;=45, "Gen X", IF(G102&gt;=25, "Millennial", "Gen Z")))</f>
        <v/>
      </c>
      <c r="I102" s="4" t="inlineStr">
        <is>
          <t>Checking</t>
        </is>
      </c>
      <c r="J102" s="4" t="inlineStr">
        <is>
          <t>Entertainment</t>
        </is>
      </c>
      <c r="K102" s="6" t="n">
        <v>2575.26</v>
      </c>
      <c r="L102" s="6" t="n">
        <v>5677.69</v>
      </c>
      <c r="M102" s="4" t="inlineStr">
        <is>
          <t>Online Banking</t>
        </is>
      </c>
      <c r="N102" s="4" t="inlineStr">
        <is>
          <t>N</t>
        </is>
      </c>
      <c r="O102" s="4">
        <f>TEXT(D102, "dddd")</f>
        <v/>
      </c>
      <c r="P102" s="4">
        <f>"Q"&amp;ROUNDUP(MONTH(D102)/3, 0)</f>
        <v/>
      </c>
    </row>
    <row r="103">
      <c r="A103" s="7" t="inlineStr">
        <is>
          <t>TXN100106</t>
        </is>
      </c>
      <c r="B103" s="7" t="inlineStr">
        <is>
          <t>CUST0106</t>
        </is>
      </c>
      <c r="C103" s="7" t="inlineStr">
        <is>
          <t>2026-06-01 10:26:00</t>
        </is>
      </c>
      <c r="D103" s="7">
        <f>TEXT(LEFT(C103,10),"YYYY-MM-DD")</f>
        <v/>
      </c>
      <c r="E103" s="8">
        <f>HOUR(C103)</f>
        <v/>
      </c>
      <c r="F103" s="7" t="inlineStr">
        <is>
          <t>Unspecified</t>
        </is>
      </c>
      <c r="G103" s="8" t="n">
        <v>38</v>
      </c>
      <c r="H103" s="7">
        <f>IF(G103&gt;=60, "Boomer", IF(G103&gt;=45, "Gen X", IF(G103&gt;=25, "Millennial", "Gen Z")))</f>
        <v/>
      </c>
      <c r="I103" s="7" t="inlineStr">
        <is>
          <t>Investment</t>
        </is>
      </c>
      <c r="J103" s="7" t="inlineStr">
        <is>
          <t>Utilities</t>
        </is>
      </c>
      <c r="K103" s="9" t="n">
        <v>6510.39</v>
      </c>
      <c r="L103" s="9" t="n">
        <v>27729.78</v>
      </c>
      <c r="M103" s="7" t="inlineStr">
        <is>
          <t>ATM</t>
        </is>
      </c>
      <c r="N103" s="7" t="inlineStr">
        <is>
          <t>N</t>
        </is>
      </c>
      <c r="O103" s="7">
        <f>TEXT(D103, "dddd")</f>
        <v/>
      </c>
      <c r="P103" s="7">
        <f>"Q"&amp;ROUNDUP(MONTH(D103)/3, 0)</f>
        <v/>
      </c>
    </row>
    <row r="104">
      <c r="A104" s="4" t="inlineStr">
        <is>
          <t>TXN100107</t>
        </is>
      </c>
      <c r="B104" s="4" t="inlineStr">
        <is>
          <t>CUST0107</t>
        </is>
      </c>
      <c r="C104" s="4" t="inlineStr">
        <is>
          <t>2026-06-01 02:20:00</t>
        </is>
      </c>
      <c r="D104" s="4">
        <f>TEXT(LEFT(C104,10),"YYYY-MM-DD")</f>
        <v/>
      </c>
      <c r="E104" s="5">
        <f>HOUR(C104)</f>
        <v/>
      </c>
      <c r="F104" s="4" t="inlineStr">
        <is>
          <t>Female</t>
        </is>
      </c>
      <c r="G104" s="5" t="n">
        <v>40</v>
      </c>
      <c r="H104" s="4">
        <f>IF(G104&gt;=60, "Boomer", IF(G104&gt;=45, "Gen X", IF(G104&gt;=25, "Millennial", "Gen Z")))</f>
        <v/>
      </c>
      <c r="I104" s="4" t="inlineStr">
        <is>
          <t>Savings</t>
        </is>
      </c>
      <c r="J104" s="4" t="inlineStr">
        <is>
          <t>Utilities</t>
        </is>
      </c>
      <c r="K104" s="6" t="n">
        <v>6920.64</v>
      </c>
      <c r="L104" s="6" t="n">
        <v>41333.9</v>
      </c>
      <c r="M104" s="4" t="inlineStr">
        <is>
          <t>Mobile App</t>
        </is>
      </c>
      <c r="N104" s="4" t="inlineStr">
        <is>
          <t>N</t>
        </is>
      </c>
      <c r="O104" s="4">
        <f>TEXT(D104, "dddd")</f>
        <v/>
      </c>
      <c r="P104" s="4">
        <f>"Q"&amp;ROUNDUP(MONTH(D104)/3, 0)</f>
        <v/>
      </c>
    </row>
    <row r="105">
      <c r="A105" s="7" t="inlineStr">
        <is>
          <t>TXN100108</t>
        </is>
      </c>
      <c r="B105" s="7" t="inlineStr">
        <is>
          <t>CUST0108</t>
        </is>
      </c>
      <c r="C105" s="7" t="inlineStr">
        <is>
          <t>2026-06-01 21:55:00</t>
        </is>
      </c>
      <c r="D105" s="7">
        <f>TEXT(LEFT(C105,10),"YYYY-MM-DD")</f>
        <v/>
      </c>
      <c r="E105" s="8">
        <f>HOUR(C105)</f>
        <v/>
      </c>
      <c r="F105" s="7" t="inlineStr">
        <is>
          <t>Unspecified</t>
        </is>
      </c>
      <c r="G105" s="8" t="n">
        <v>46</v>
      </c>
      <c r="H105" s="7">
        <f>IF(G105&gt;=60, "Boomer", IF(G105&gt;=45, "Gen X", IF(G105&gt;=25, "Millennial", "Gen Z")))</f>
        <v/>
      </c>
      <c r="I105" s="7" t="inlineStr">
        <is>
          <t>Savings</t>
        </is>
      </c>
      <c r="J105" s="7" t="inlineStr">
        <is>
          <t>Groceries</t>
        </is>
      </c>
      <c r="K105" s="9" t="n">
        <v>4152.33</v>
      </c>
      <c r="L105" s="9" t="n">
        <v>31320.38</v>
      </c>
      <c r="M105" s="7" t="inlineStr">
        <is>
          <t>ATM</t>
        </is>
      </c>
      <c r="N105" s="7" t="inlineStr">
        <is>
          <t>N</t>
        </is>
      </c>
      <c r="O105" s="7">
        <f>TEXT(D105, "dddd")</f>
        <v/>
      </c>
      <c r="P105" s="7">
        <f>"Q"&amp;ROUNDUP(MONTH(D105)/3, 0)</f>
        <v/>
      </c>
    </row>
    <row r="106">
      <c r="A106" s="4" t="inlineStr">
        <is>
          <t>TXN100109</t>
        </is>
      </c>
      <c r="B106" s="4" t="inlineStr">
        <is>
          <t>CUST0109</t>
        </is>
      </c>
      <c r="C106" s="4" t="inlineStr">
        <is>
          <t>2026-06-01 20:28:00</t>
        </is>
      </c>
      <c r="D106" s="4">
        <f>TEXT(LEFT(C106,10),"YYYY-MM-DD")</f>
        <v/>
      </c>
      <c r="E106" s="5">
        <f>HOUR(C106)</f>
        <v/>
      </c>
      <c r="F106" s="4" t="inlineStr">
        <is>
          <t>Male</t>
        </is>
      </c>
      <c r="G106" s="5" t="n">
        <v>33</v>
      </c>
      <c r="H106" s="4">
        <f>IF(G106&gt;=60, "Boomer", IF(G106&gt;=45, "Gen X", IF(G106&gt;=25, "Millennial", "Gen Z")))</f>
        <v/>
      </c>
      <c r="I106" s="4" t="inlineStr">
        <is>
          <t>Checking</t>
        </is>
      </c>
      <c r="J106" s="4" t="inlineStr">
        <is>
          <t>Travel</t>
        </is>
      </c>
      <c r="K106" s="6" t="n">
        <v>1056.8</v>
      </c>
      <c r="L106" s="6" t="n">
        <v>14757.44</v>
      </c>
      <c r="M106" s="4" t="inlineStr">
        <is>
          <t>ATM</t>
        </is>
      </c>
      <c r="N106" s="4" t="inlineStr">
        <is>
          <t>N</t>
        </is>
      </c>
      <c r="O106" s="4">
        <f>TEXT(D106, "dddd")</f>
        <v/>
      </c>
      <c r="P106" s="4">
        <f>"Q"&amp;ROUNDUP(MONTH(D106)/3, 0)</f>
        <v/>
      </c>
    </row>
    <row r="107">
      <c r="A107" s="7" t="inlineStr">
        <is>
          <t>TXN100110</t>
        </is>
      </c>
      <c r="B107" s="7" t="inlineStr">
        <is>
          <t>CUST0110</t>
        </is>
      </c>
      <c r="C107" s="7" t="inlineStr">
        <is>
          <t>2026-06-01 03:01:00</t>
        </is>
      </c>
      <c r="D107" s="7">
        <f>TEXT(LEFT(C107,10),"YYYY-MM-DD")</f>
        <v/>
      </c>
      <c r="E107" s="8">
        <f>HOUR(C107)</f>
        <v/>
      </c>
      <c r="F107" s="7" t="inlineStr">
        <is>
          <t>Female</t>
        </is>
      </c>
      <c r="G107" s="8" t="n">
        <v>65</v>
      </c>
      <c r="H107" s="7">
        <f>IF(G107&gt;=60, "Boomer", IF(G107&gt;=45, "Gen X", IF(G107&gt;=25, "Millennial", "Gen Z")))</f>
        <v/>
      </c>
      <c r="I107" s="7" t="inlineStr">
        <is>
          <t>Savings</t>
        </is>
      </c>
      <c r="J107" s="7" t="inlineStr">
        <is>
          <t>Entertainment</t>
        </is>
      </c>
      <c r="K107" s="9" t="n">
        <v>4411.2</v>
      </c>
      <c r="L107" s="9" t="n">
        <v>27836.44</v>
      </c>
      <c r="M107" s="7" t="inlineStr">
        <is>
          <t>Mobile App</t>
        </is>
      </c>
      <c r="N107" s="7" t="inlineStr">
        <is>
          <t>N</t>
        </is>
      </c>
      <c r="O107" s="7">
        <f>TEXT(D107, "dddd")</f>
        <v/>
      </c>
      <c r="P107" s="7">
        <f>"Q"&amp;ROUNDUP(MONTH(D107)/3, 0)</f>
        <v/>
      </c>
    </row>
    <row r="108">
      <c r="A108" s="4" t="inlineStr">
        <is>
          <t>TXN100111</t>
        </is>
      </c>
      <c r="B108" s="4" t="inlineStr">
        <is>
          <t>CUST0111</t>
        </is>
      </c>
      <c r="C108" s="4" t="inlineStr">
        <is>
          <t>2026-06-01 07:53:00</t>
        </is>
      </c>
      <c r="D108" s="4">
        <f>TEXT(LEFT(C108,10),"YYYY-MM-DD")</f>
        <v/>
      </c>
      <c r="E108" s="5">
        <f>HOUR(C108)</f>
        <v/>
      </c>
      <c r="F108" s="4" t="inlineStr">
        <is>
          <t>Male</t>
        </is>
      </c>
      <c r="G108" s="5" t="n">
        <v>49</v>
      </c>
      <c r="H108" s="4">
        <f>IF(G108&gt;=60, "Boomer", IF(G108&gt;=45, "Gen X", IF(G108&gt;=25, "Millennial", "Gen Z")))</f>
        <v/>
      </c>
      <c r="I108" s="4" t="inlineStr">
        <is>
          <t>Savings</t>
        </is>
      </c>
      <c r="J108" s="4" t="inlineStr">
        <is>
          <t>Groceries</t>
        </is>
      </c>
      <c r="K108" s="6" t="n">
        <v>3992.02</v>
      </c>
      <c r="L108" s="6" t="n">
        <v>35971.86</v>
      </c>
      <c r="M108" s="4" t="inlineStr">
        <is>
          <t>Branch Office</t>
        </is>
      </c>
      <c r="N108" s="4" t="inlineStr">
        <is>
          <t>N</t>
        </is>
      </c>
      <c r="O108" s="4">
        <f>TEXT(D108, "dddd")</f>
        <v/>
      </c>
      <c r="P108" s="4">
        <f>"Q"&amp;ROUNDUP(MONTH(D108)/3, 0)</f>
        <v/>
      </c>
    </row>
    <row r="109">
      <c r="A109" s="7" t="inlineStr">
        <is>
          <t>TXN100112</t>
        </is>
      </c>
      <c r="B109" s="7" t="inlineStr">
        <is>
          <t>CUST0112</t>
        </is>
      </c>
      <c r="C109" s="7" t="inlineStr">
        <is>
          <t>2026-06-01 13:53:00</t>
        </is>
      </c>
      <c r="D109" s="7">
        <f>TEXT(LEFT(C109,10),"YYYY-MM-DD")</f>
        <v/>
      </c>
      <c r="E109" s="8">
        <f>HOUR(C109)</f>
        <v/>
      </c>
      <c r="F109" s="7" t="inlineStr">
        <is>
          <t>Unspecified</t>
        </is>
      </c>
      <c r="G109" s="8" t="n">
        <v>47</v>
      </c>
      <c r="H109" s="7">
        <f>IF(G109&gt;=60, "Boomer", IF(G109&gt;=45, "Gen X", IF(G109&gt;=25, "Millennial", "Gen Z")))</f>
        <v/>
      </c>
      <c r="I109" s="7" t="inlineStr">
        <is>
          <t>Savings</t>
        </is>
      </c>
      <c r="J109" s="7" t="inlineStr">
        <is>
          <t>Utilities</t>
        </is>
      </c>
      <c r="K109" s="9" t="n">
        <v>4414.61</v>
      </c>
      <c r="L109" s="9" t="n">
        <v>19487.51</v>
      </c>
      <c r="M109" s="7" t="inlineStr">
        <is>
          <t>Online Banking</t>
        </is>
      </c>
      <c r="N109" s="7" t="inlineStr">
        <is>
          <t>N</t>
        </is>
      </c>
      <c r="O109" s="7">
        <f>TEXT(D109, "dddd")</f>
        <v/>
      </c>
      <c r="P109" s="7">
        <f>"Q"&amp;ROUNDUP(MONTH(D109)/3, 0)</f>
        <v/>
      </c>
    </row>
    <row r="110">
      <c r="A110" s="4" t="inlineStr">
        <is>
          <t>TXN100113</t>
        </is>
      </c>
      <c r="B110" s="4" t="inlineStr">
        <is>
          <t>CUST0113</t>
        </is>
      </c>
      <c r="C110" s="4" t="inlineStr">
        <is>
          <t>2026-06-01 02:17:00</t>
        </is>
      </c>
      <c r="D110" s="4">
        <f>TEXT(LEFT(C110,10),"YYYY-MM-DD")</f>
        <v/>
      </c>
      <c r="E110" s="5">
        <f>HOUR(C110)</f>
        <v/>
      </c>
      <c r="F110" s="4" t="inlineStr">
        <is>
          <t>Unspecified</t>
        </is>
      </c>
      <c r="G110" s="5" t="n">
        <v>41</v>
      </c>
      <c r="H110" s="4">
        <f>IF(G110&gt;=60, "Boomer", IF(G110&gt;=45, "Gen X", IF(G110&gt;=25, "Millennial", "Gen Z")))</f>
        <v/>
      </c>
      <c r="I110" s="4" t="inlineStr">
        <is>
          <t>Investment</t>
        </is>
      </c>
      <c r="J110" s="4" t="inlineStr">
        <is>
          <t>Entertainment</t>
        </is>
      </c>
      <c r="K110" s="6" t="n">
        <v>6566.19</v>
      </c>
      <c r="L110" s="6" t="n">
        <v>14500.53</v>
      </c>
      <c r="M110" s="4" t="inlineStr">
        <is>
          <t>Branch Office</t>
        </is>
      </c>
      <c r="N110" s="4" t="inlineStr">
        <is>
          <t>N</t>
        </is>
      </c>
      <c r="O110" s="4">
        <f>TEXT(D110, "dddd")</f>
        <v/>
      </c>
      <c r="P110" s="4">
        <f>"Q"&amp;ROUNDUP(MONTH(D110)/3, 0)</f>
        <v/>
      </c>
    </row>
    <row r="111">
      <c r="A111" s="7" t="inlineStr">
        <is>
          <t>TXN100114</t>
        </is>
      </c>
      <c r="B111" s="7" t="inlineStr">
        <is>
          <t>CUST0114</t>
        </is>
      </c>
      <c r="C111" s="7" t="inlineStr">
        <is>
          <t>2026-06-01 18:37:00</t>
        </is>
      </c>
      <c r="D111" s="7">
        <f>TEXT(LEFT(C111,10),"YYYY-MM-DD")</f>
        <v/>
      </c>
      <c r="E111" s="8">
        <f>HOUR(C111)</f>
        <v/>
      </c>
      <c r="F111" s="7" t="inlineStr">
        <is>
          <t>Unspecified</t>
        </is>
      </c>
      <c r="G111" s="8" t="n">
        <v>75</v>
      </c>
      <c r="H111" s="7">
        <f>IF(G111&gt;=60, "Boomer", IF(G111&gt;=45, "Gen X", IF(G111&gt;=25, "Millennial", "Gen Z")))</f>
        <v/>
      </c>
      <c r="I111" s="7" t="inlineStr">
        <is>
          <t>Savings</t>
        </is>
      </c>
      <c r="J111" s="7" t="inlineStr">
        <is>
          <t>Utilities</t>
        </is>
      </c>
      <c r="K111" s="9" t="n">
        <v>4313.26</v>
      </c>
      <c r="L111" s="9" t="n">
        <v>17583.64</v>
      </c>
      <c r="M111" s="7" t="inlineStr">
        <is>
          <t>ATM</t>
        </is>
      </c>
      <c r="N111" s="7" t="inlineStr">
        <is>
          <t>N</t>
        </is>
      </c>
      <c r="O111" s="7">
        <f>TEXT(D111, "dddd")</f>
        <v/>
      </c>
      <c r="P111" s="7">
        <f>"Q"&amp;ROUNDUP(MONTH(D111)/3, 0)</f>
        <v/>
      </c>
    </row>
    <row r="112">
      <c r="A112" s="4" t="inlineStr">
        <is>
          <t>TXN100115</t>
        </is>
      </c>
      <c r="B112" s="4" t="inlineStr">
        <is>
          <t>CUST0115</t>
        </is>
      </c>
      <c r="C112" s="4" t="inlineStr">
        <is>
          <t>2026-06-01 14:59:00</t>
        </is>
      </c>
      <c r="D112" s="4">
        <f>TEXT(LEFT(C112,10),"YYYY-MM-DD")</f>
        <v/>
      </c>
      <c r="E112" s="5">
        <f>HOUR(C112)</f>
        <v/>
      </c>
      <c r="F112" s="4" t="inlineStr">
        <is>
          <t>Female</t>
        </is>
      </c>
      <c r="G112" s="5" t="n">
        <v>75</v>
      </c>
      <c r="H112" s="4">
        <f>IF(G112&gt;=60, "Boomer", IF(G112&gt;=45, "Gen X", IF(G112&gt;=25, "Millennial", "Gen Z")))</f>
        <v/>
      </c>
      <c r="I112" s="4" t="inlineStr">
        <is>
          <t>Savings</t>
        </is>
      </c>
      <c r="J112" s="4" t="inlineStr">
        <is>
          <t>Groceries</t>
        </is>
      </c>
      <c r="K112" s="6" t="n">
        <v>4578.66</v>
      </c>
      <c r="L112" s="6" t="n">
        <v>12061.34</v>
      </c>
      <c r="M112" s="4" t="inlineStr">
        <is>
          <t>ATM</t>
        </is>
      </c>
      <c r="N112" s="4" t="inlineStr">
        <is>
          <t>N</t>
        </is>
      </c>
      <c r="O112" s="4">
        <f>TEXT(D112, "dddd")</f>
        <v/>
      </c>
      <c r="P112" s="4">
        <f>"Q"&amp;ROUNDUP(MONTH(D112)/3, 0)</f>
        <v/>
      </c>
    </row>
    <row r="113">
      <c r="A113" s="7" t="inlineStr">
        <is>
          <t>TXN100116</t>
        </is>
      </c>
      <c r="B113" s="7" t="inlineStr">
        <is>
          <t>CUST0116</t>
        </is>
      </c>
      <c r="C113" s="7" t="inlineStr">
        <is>
          <t>2026-06-01 01:20:00</t>
        </is>
      </c>
      <c r="D113" s="7">
        <f>TEXT(LEFT(C113,10),"YYYY-MM-DD")</f>
        <v/>
      </c>
      <c r="E113" s="8">
        <f>HOUR(C113)</f>
        <v/>
      </c>
      <c r="F113" s="7" t="inlineStr">
        <is>
          <t>Unspecified</t>
        </is>
      </c>
      <c r="G113" s="8" t="n">
        <v>65</v>
      </c>
      <c r="H113" s="7">
        <f>IF(G113&gt;=60, "Boomer", IF(G113&gt;=45, "Gen X", IF(G113&gt;=25, "Millennial", "Gen Z")))</f>
        <v/>
      </c>
      <c r="I113" s="7" t="inlineStr">
        <is>
          <t>Checking</t>
        </is>
      </c>
      <c r="J113" s="7" t="inlineStr">
        <is>
          <t>Utilities</t>
        </is>
      </c>
      <c r="K113" s="9" t="n">
        <v>7907.43</v>
      </c>
      <c r="L113" s="9" t="n">
        <v>39723.49</v>
      </c>
      <c r="M113" s="7" t="inlineStr">
        <is>
          <t>Online Banking</t>
        </is>
      </c>
      <c r="N113" s="7" t="inlineStr">
        <is>
          <t>N</t>
        </is>
      </c>
      <c r="O113" s="7">
        <f>TEXT(D113, "dddd")</f>
        <v/>
      </c>
      <c r="P113" s="7">
        <f>"Q"&amp;ROUNDUP(MONTH(D113)/3, 0)</f>
        <v/>
      </c>
    </row>
    <row r="114">
      <c r="A114" s="4" t="inlineStr">
        <is>
          <t>TXN100117</t>
        </is>
      </c>
      <c r="B114" s="4" t="inlineStr">
        <is>
          <t>CUST0117</t>
        </is>
      </c>
      <c r="C114" s="4" t="inlineStr">
        <is>
          <t>2026-06-01 01:08:00</t>
        </is>
      </c>
      <c r="D114" s="4">
        <f>TEXT(LEFT(C114,10),"YYYY-MM-DD")</f>
        <v/>
      </c>
      <c r="E114" s="5">
        <f>HOUR(C114)</f>
        <v/>
      </c>
      <c r="F114" s="4" t="inlineStr">
        <is>
          <t>Female</t>
        </is>
      </c>
      <c r="G114" s="5" t="n">
        <v>75</v>
      </c>
      <c r="H114" s="4">
        <f>IF(G114&gt;=60, "Boomer", IF(G114&gt;=45, "Gen X", IF(G114&gt;=25, "Millennial", "Gen Z")))</f>
        <v/>
      </c>
      <c r="I114" s="4" t="inlineStr">
        <is>
          <t>Savings</t>
        </is>
      </c>
      <c r="J114" s="4" t="inlineStr">
        <is>
          <t>Utilities</t>
        </is>
      </c>
      <c r="K114" s="6" t="n">
        <v>806.7</v>
      </c>
      <c r="L114" s="6" t="n">
        <v>45566.86</v>
      </c>
      <c r="M114" s="4" t="inlineStr">
        <is>
          <t>Mobile App</t>
        </is>
      </c>
      <c r="N114" s="4" t="inlineStr">
        <is>
          <t>N</t>
        </is>
      </c>
      <c r="O114" s="4">
        <f>TEXT(D114, "dddd")</f>
        <v/>
      </c>
      <c r="P114" s="4">
        <f>"Q"&amp;ROUNDUP(MONTH(D114)/3, 0)</f>
        <v/>
      </c>
    </row>
    <row r="115">
      <c r="A115" s="7" t="inlineStr">
        <is>
          <t>TXN100118</t>
        </is>
      </c>
      <c r="B115" s="7" t="inlineStr">
        <is>
          <t>CUST0118</t>
        </is>
      </c>
      <c r="C115" s="7" t="inlineStr">
        <is>
          <t>2026-06-01 23:09:00</t>
        </is>
      </c>
      <c r="D115" s="7">
        <f>TEXT(LEFT(C115,10),"YYYY-MM-DD")</f>
        <v/>
      </c>
      <c r="E115" s="8">
        <f>HOUR(C115)</f>
        <v/>
      </c>
      <c r="F115" s="7" t="inlineStr">
        <is>
          <t>Unspecified</t>
        </is>
      </c>
      <c r="G115" s="8" t="n">
        <v>75</v>
      </c>
      <c r="H115" s="7">
        <f>IF(G115&gt;=60, "Boomer", IF(G115&gt;=45, "Gen X", IF(G115&gt;=25, "Millennial", "Gen Z")))</f>
        <v/>
      </c>
      <c r="I115" s="7" t="inlineStr">
        <is>
          <t>Investment</t>
        </is>
      </c>
      <c r="J115" s="7" t="inlineStr">
        <is>
          <t>Groceries</t>
        </is>
      </c>
      <c r="K115" s="9" t="n">
        <v>607.88</v>
      </c>
      <c r="L115" s="9" t="n">
        <v>39185.5</v>
      </c>
      <c r="M115" s="7" t="inlineStr">
        <is>
          <t>Branch Office</t>
        </is>
      </c>
      <c r="N115" s="7" t="inlineStr">
        <is>
          <t>N</t>
        </is>
      </c>
      <c r="O115" s="7">
        <f>TEXT(D115, "dddd")</f>
        <v/>
      </c>
      <c r="P115" s="7">
        <f>"Q"&amp;ROUNDUP(MONTH(D115)/3, 0)</f>
        <v/>
      </c>
    </row>
    <row r="116">
      <c r="A116" s="4" t="inlineStr">
        <is>
          <t>TXN100119</t>
        </is>
      </c>
      <c r="B116" s="4" t="inlineStr">
        <is>
          <t>CUST0119</t>
        </is>
      </c>
      <c r="C116" s="4" t="inlineStr">
        <is>
          <t>2026-06-01 10:39:00</t>
        </is>
      </c>
      <c r="D116" s="4">
        <f>TEXT(LEFT(C116,10),"YYYY-MM-DD")</f>
        <v/>
      </c>
      <c r="E116" s="5">
        <f>HOUR(C116)</f>
        <v/>
      </c>
      <c r="F116" s="4" t="inlineStr">
        <is>
          <t>Unspecified</t>
        </is>
      </c>
      <c r="G116" s="5" t="n">
        <v>61</v>
      </c>
      <c r="H116" s="4">
        <f>IF(G116&gt;=60, "Boomer", IF(G116&gt;=45, "Gen X", IF(G116&gt;=25, "Millennial", "Gen Z")))</f>
        <v/>
      </c>
      <c r="I116" s="4" t="inlineStr">
        <is>
          <t>Savings</t>
        </is>
      </c>
      <c r="J116" s="4" t="inlineStr">
        <is>
          <t>Entertainment</t>
        </is>
      </c>
      <c r="K116" s="6" t="n">
        <v>6820.21</v>
      </c>
      <c r="L116" s="6" t="n">
        <v>43037.44</v>
      </c>
      <c r="M116" s="4" t="inlineStr">
        <is>
          <t>ATM</t>
        </is>
      </c>
      <c r="N116" s="4" t="inlineStr">
        <is>
          <t>N</t>
        </is>
      </c>
      <c r="O116" s="4">
        <f>TEXT(D116, "dddd")</f>
        <v/>
      </c>
      <c r="P116" s="4">
        <f>"Q"&amp;ROUNDUP(MONTH(D116)/3, 0)</f>
        <v/>
      </c>
    </row>
    <row r="117">
      <c r="A117" s="7" t="inlineStr">
        <is>
          <t>TXN100120</t>
        </is>
      </c>
      <c r="B117" s="7" t="inlineStr">
        <is>
          <t>CUST0120</t>
        </is>
      </c>
      <c r="C117" s="7" t="inlineStr">
        <is>
          <t>2026-06-01 10:40:00</t>
        </is>
      </c>
      <c r="D117" s="7">
        <f>TEXT(LEFT(C117,10),"YYYY-MM-DD")</f>
        <v/>
      </c>
      <c r="E117" s="8">
        <f>HOUR(C117)</f>
        <v/>
      </c>
      <c r="F117" s="7" t="inlineStr">
        <is>
          <t>Unspecified</t>
        </is>
      </c>
      <c r="G117" s="8" t="n">
        <v>75</v>
      </c>
      <c r="H117" s="7">
        <f>IF(G117&gt;=60, "Boomer", IF(G117&gt;=45, "Gen X", IF(G117&gt;=25, "Millennial", "Gen Z")))</f>
        <v/>
      </c>
      <c r="I117" s="7" t="inlineStr">
        <is>
          <t>Investment</t>
        </is>
      </c>
      <c r="J117" s="7" t="inlineStr">
        <is>
          <t>Groceries</t>
        </is>
      </c>
      <c r="K117" s="9" t="n">
        <v>4943.5</v>
      </c>
      <c r="L117" s="9" t="n">
        <v>12121.13</v>
      </c>
      <c r="M117" s="7" t="inlineStr">
        <is>
          <t>Branch Office</t>
        </is>
      </c>
      <c r="N117" s="7" t="inlineStr">
        <is>
          <t>N</t>
        </is>
      </c>
      <c r="O117" s="7">
        <f>TEXT(D117, "dddd")</f>
        <v/>
      </c>
      <c r="P117" s="7">
        <f>"Q"&amp;ROUNDUP(MONTH(D117)/3, 0)</f>
        <v/>
      </c>
    </row>
    <row r="118">
      <c r="A118" s="4" t="inlineStr">
        <is>
          <t>TXN100121</t>
        </is>
      </c>
      <c r="B118" s="4" t="inlineStr">
        <is>
          <t>CUST0121</t>
        </is>
      </c>
      <c r="C118" s="4" t="inlineStr">
        <is>
          <t>2026-06-01 07:47:00</t>
        </is>
      </c>
      <c r="D118" s="4">
        <f>TEXT(LEFT(C118,10),"YYYY-MM-DD")</f>
        <v/>
      </c>
      <c r="E118" s="5">
        <f>HOUR(C118)</f>
        <v/>
      </c>
      <c r="F118" s="4" t="inlineStr">
        <is>
          <t>Male</t>
        </is>
      </c>
      <c r="G118" s="5" t="n">
        <v>47</v>
      </c>
      <c r="H118" s="4">
        <f>IF(G118&gt;=60, "Boomer", IF(G118&gt;=45, "Gen X", IF(G118&gt;=25, "Millennial", "Gen Z")))</f>
        <v/>
      </c>
      <c r="I118" s="4" t="inlineStr">
        <is>
          <t>Savings</t>
        </is>
      </c>
      <c r="J118" s="4" t="inlineStr">
        <is>
          <t>Groceries</t>
        </is>
      </c>
      <c r="K118" s="6" t="n">
        <v>3554.99</v>
      </c>
      <c r="L118" s="6" t="n">
        <v>34853.06</v>
      </c>
      <c r="M118" s="4" t="inlineStr">
        <is>
          <t>Mobile App</t>
        </is>
      </c>
      <c r="N118" s="4" t="inlineStr">
        <is>
          <t>N</t>
        </is>
      </c>
      <c r="O118" s="4">
        <f>TEXT(D118, "dddd")</f>
        <v/>
      </c>
      <c r="P118" s="4">
        <f>"Q"&amp;ROUNDUP(MONTH(D118)/3, 0)</f>
        <v/>
      </c>
    </row>
    <row r="119">
      <c r="A119" s="7" t="inlineStr">
        <is>
          <t>TXN100122</t>
        </is>
      </c>
      <c r="B119" s="7" t="inlineStr">
        <is>
          <t>CUST0122</t>
        </is>
      </c>
      <c r="C119" s="7" t="inlineStr">
        <is>
          <t>2026-06-01 01:20:00</t>
        </is>
      </c>
      <c r="D119" s="7">
        <f>TEXT(LEFT(C119,10),"YYYY-MM-DD")</f>
        <v/>
      </c>
      <c r="E119" s="8">
        <f>HOUR(C119)</f>
        <v/>
      </c>
      <c r="F119" s="7" t="inlineStr">
        <is>
          <t>Male</t>
        </is>
      </c>
      <c r="G119" s="8" t="n">
        <v>38</v>
      </c>
      <c r="H119" s="7">
        <f>IF(G119&gt;=60, "Boomer", IF(G119&gt;=45, "Gen X", IF(G119&gt;=25, "Millennial", "Gen Z")))</f>
        <v/>
      </c>
      <c r="I119" s="7" t="inlineStr">
        <is>
          <t>Checking</t>
        </is>
      </c>
      <c r="J119" s="7" t="inlineStr">
        <is>
          <t>Entertainment</t>
        </is>
      </c>
      <c r="K119" s="9" t="n">
        <v>3451.19</v>
      </c>
      <c r="L119" s="9" t="n">
        <v>12587.77</v>
      </c>
      <c r="M119" s="7" t="inlineStr">
        <is>
          <t>ATM</t>
        </is>
      </c>
      <c r="N119" s="7" t="inlineStr">
        <is>
          <t>N</t>
        </is>
      </c>
      <c r="O119" s="7">
        <f>TEXT(D119, "dddd")</f>
        <v/>
      </c>
      <c r="P119" s="7">
        <f>"Q"&amp;ROUNDUP(MONTH(D119)/3, 0)</f>
        <v/>
      </c>
    </row>
    <row r="120">
      <c r="A120" s="4" t="inlineStr">
        <is>
          <t>TXN100123</t>
        </is>
      </c>
      <c r="B120" s="4" t="inlineStr">
        <is>
          <t>CUST0123</t>
        </is>
      </c>
      <c r="C120" s="4" t="inlineStr">
        <is>
          <t>2026-06-01 18:43:00</t>
        </is>
      </c>
      <c r="D120" s="4">
        <f>TEXT(LEFT(C120,10),"YYYY-MM-DD")</f>
        <v/>
      </c>
      <c r="E120" s="5">
        <f>HOUR(C120)</f>
        <v/>
      </c>
      <c r="F120" s="4" t="inlineStr">
        <is>
          <t>Male</t>
        </is>
      </c>
      <c r="G120" s="5" t="n">
        <v>30</v>
      </c>
      <c r="H120" s="4">
        <f>IF(G120&gt;=60, "Boomer", IF(G120&gt;=45, "Gen X", IF(G120&gt;=25, "Millennial", "Gen Z")))</f>
        <v/>
      </c>
      <c r="I120" s="4" t="inlineStr">
        <is>
          <t>Savings</t>
        </is>
      </c>
      <c r="J120" s="4" t="inlineStr">
        <is>
          <t>Groceries</t>
        </is>
      </c>
      <c r="K120" s="6" t="n">
        <v>4879.84</v>
      </c>
      <c r="L120" s="6" t="n">
        <v>19435.94</v>
      </c>
      <c r="M120" s="4" t="inlineStr">
        <is>
          <t>Online Banking</t>
        </is>
      </c>
      <c r="N120" s="4" t="inlineStr">
        <is>
          <t>N</t>
        </is>
      </c>
      <c r="O120" s="4">
        <f>TEXT(D120, "dddd")</f>
        <v/>
      </c>
      <c r="P120" s="4">
        <f>"Q"&amp;ROUNDUP(MONTH(D120)/3, 0)</f>
        <v/>
      </c>
    </row>
    <row r="121">
      <c r="A121" s="7" t="inlineStr">
        <is>
          <t>TXN100124</t>
        </is>
      </c>
      <c r="B121" s="7" t="inlineStr">
        <is>
          <t>CUST0124</t>
        </is>
      </c>
      <c r="C121" s="7" t="inlineStr">
        <is>
          <t>2026-06-01 15:58:00</t>
        </is>
      </c>
      <c r="D121" s="7">
        <f>TEXT(LEFT(C121,10),"YYYY-MM-DD")</f>
        <v/>
      </c>
      <c r="E121" s="8">
        <f>HOUR(C121)</f>
        <v/>
      </c>
      <c r="F121" s="7" t="inlineStr">
        <is>
          <t>Male</t>
        </is>
      </c>
      <c r="G121" s="8" t="n">
        <v>34</v>
      </c>
      <c r="H121" s="7">
        <f>IF(G121&gt;=60, "Boomer", IF(G121&gt;=45, "Gen X", IF(G121&gt;=25, "Millennial", "Gen Z")))</f>
        <v/>
      </c>
      <c r="I121" s="7" t="inlineStr">
        <is>
          <t>Checking</t>
        </is>
      </c>
      <c r="J121" s="7" t="inlineStr">
        <is>
          <t>Entertainment</t>
        </is>
      </c>
      <c r="K121" s="9" t="n">
        <v>3681.97</v>
      </c>
      <c r="L121" s="9" t="n">
        <v>33508.62</v>
      </c>
      <c r="M121" s="7" t="inlineStr">
        <is>
          <t>ATM</t>
        </is>
      </c>
      <c r="N121" s="7" t="inlineStr">
        <is>
          <t>N</t>
        </is>
      </c>
      <c r="O121" s="7">
        <f>TEXT(D121, "dddd")</f>
        <v/>
      </c>
      <c r="P121" s="7">
        <f>"Q"&amp;ROUNDUP(MONTH(D121)/3, 0)</f>
        <v/>
      </c>
    </row>
    <row r="122">
      <c r="A122" s="4" t="inlineStr">
        <is>
          <t>TXN100125</t>
        </is>
      </c>
      <c r="B122" s="4" t="inlineStr">
        <is>
          <t>CUST0125</t>
        </is>
      </c>
      <c r="C122" s="4" t="inlineStr">
        <is>
          <t>2026-06-01 09:43:00</t>
        </is>
      </c>
      <c r="D122" s="4">
        <f>TEXT(LEFT(C122,10),"YYYY-MM-DD")</f>
        <v/>
      </c>
      <c r="E122" s="5">
        <f>HOUR(C122)</f>
        <v/>
      </c>
      <c r="F122" s="4" t="inlineStr">
        <is>
          <t>Male</t>
        </is>
      </c>
      <c r="G122" s="5" t="n">
        <v>24</v>
      </c>
      <c r="H122" s="4">
        <f>IF(G122&gt;=60, "Boomer", IF(G122&gt;=45, "Gen X", IF(G122&gt;=25, "Millennial", "Gen Z")))</f>
        <v/>
      </c>
      <c r="I122" s="4" t="inlineStr">
        <is>
          <t>Checking</t>
        </is>
      </c>
      <c r="J122" s="4" t="inlineStr">
        <is>
          <t>Entertainment</t>
        </is>
      </c>
      <c r="K122" s="6" t="n">
        <v>7901.34</v>
      </c>
      <c r="L122" s="6" t="n">
        <v>15308.14</v>
      </c>
      <c r="M122" s="4" t="inlineStr">
        <is>
          <t>ATM</t>
        </is>
      </c>
      <c r="N122" s="4" t="inlineStr">
        <is>
          <t>Y</t>
        </is>
      </c>
      <c r="O122" s="4">
        <f>TEXT(D122, "dddd")</f>
        <v/>
      </c>
      <c r="P122" s="4">
        <f>"Q"&amp;ROUNDUP(MONTH(D122)/3, 0)</f>
        <v/>
      </c>
    </row>
    <row r="123">
      <c r="A123" s="7" t="inlineStr">
        <is>
          <t>TXN100126</t>
        </is>
      </c>
      <c r="B123" s="7" t="inlineStr">
        <is>
          <t>CUST0126</t>
        </is>
      </c>
      <c r="C123" s="7" t="inlineStr">
        <is>
          <t>2026-06-01 14:54:00</t>
        </is>
      </c>
      <c r="D123" s="7">
        <f>TEXT(LEFT(C123,10),"YYYY-MM-DD")</f>
        <v/>
      </c>
      <c r="E123" s="8">
        <f>HOUR(C123)</f>
        <v/>
      </c>
      <c r="F123" s="7" t="inlineStr">
        <is>
          <t>Female</t>
        </is>
      </c>
      <c r="G123" s="8" t="n">
        <v>32</v>
      </c>
      <c r="H123" s="7">
        <f>IF(G123&gt;=60, "Boomer", IF(G123&gt;=45, "Gen X", IF(G123&gt;=25, "Millennial", "Gen Z")))</f>
        <v/>
      </c>
      <c r="I123" s="7" t="inlineStr">
        <is>
          <t>Checking</t>
        </is>
      </c>
      <c r="J123" s="7" t="inlineStr">
        <is>
          <t>Utilities</t>
        </is>
      </c>
      <c r="K123" s="9" t="n">
        <v>862.16</v>
      </c>
      <c r="L123" s="9" t="n">
        <v>19377.53</v>
      </c>
      <c r="M123" s="7" t="inlineStr">
        <is>
          <t>Branch Office</t>
        </is>
      </c>
      <c r="N123" s="7" t="inlineStr">
        <is>
          <t>N</t>
        </is>
      </c>
      <c r="O123" s="7">
        <f>TEXT(D123, "dddd")</f>
        <v/>
      </c>
      <c r="P123" s="7">
        <f>"Q"&amp;ROUNDUP(MONTH(D123)/3, 0)</f>
        <v/>
      </c>
    </row>
    <row r="124">
      <c r="A124" s="4" t="inlineStr">
        <is>
          <t>TXN100127</t>
        </is>
      </c>
      <c r="B124" s="4" t="inlineStr">
        <is>
          <t>CUST0127</t>
        </is>
      </c>
      <c r="C124" s="4" t="inlineStr">
        <is>
          <t>2026-06-01 18:18:00</t>
        </is>
      </c>
      <c r="D124" s="4">
        <f>TEXT(LEFT(C124,10),"YYYY-MM-DD")</f>
        <v/>
      </c>
      <c r="E124" s="5">
        <f>HOUR(C124)</f>
        <v/>
      </c>
      <c r="F124" s="4" t="inlineStr">
        <is>
          <t>Female</t>
        </is>
      </c>
      <c r="G124" s="5" t="n">
        <v>21</v>
      </c>
      <c r="H124" s="4">
        <f>IF(G124&gt;=60, "Boomer", IF(G124&gt;=45, "Gen X", IF(G124&gt;=25, "Millennial", "Gen Z")))</f>
        <v/>
      </c>
      <c r="I124" s="4" t="inlineStr">
        <is>
          <t>Investment</t>
        </is>
      </c>
      <c r="J124" s="4" t="inlineStr">
        <is>
          <t>Utilities</t>
        </is>
      </c>
      <c r="K124" s="6" t="n">
        <v>2203.1</v>
      </c>
      <c r="L124" s="6" t="n">
        <v>28513.49</v>
      </c>
      <c r="M124" s="4" t="inlineStr">
        <is>
          <t>Mobile App</t>
        </is>
      </c>
      <c r="N124" s="4" t="inlineStr">
        <is>
          <t>N</t>
        </is>
      </c>
      <c r="O124" s="4">
        <f>TEXT(D124, "dddd")</f>
        <v/>
      </c>
      <c r="P124" s="4">
        <f>"Q"&amp;ROUNDUP(MONTH(D124)/3, 0)</f>
        <v/>
      </c>
    </row>
    <row r="125">
      <c r="A125" s="7" t="inlineStr">
        <is>
          <t>TXN100128</t>
        </is>
      </c>
      <c r="B125" s="7" t="inlineStr">
        <is>
          <t>CUST0128</t>
        </is>
      </c>
      <c r="C125" s="7" t="inlineStr">
        <is>
          <t>2026-06-01 19:47:00</t>
        </is>
      </c>
      <c r="D125" s="7">
        <f>TEXT(LEFT(C125,10),"YYYY-MM-DD")</f>
        <v/>
      </c>
      <c r="E125" s="8">
        <f>HOUR(C125)</f>
        <v/>
      </c>
      <c r="F125" s="7" t="inlineStr">
        <is>
          <t>Unspecified</t>
        </is>
      </c>
      <c r="G125" s="8" t="n">
        <v>73</v>
      </c>
      <c r="H125" s="7">
        <f>IF(G125&gt;=60, "Boomer", IF(G125&gt;=45, "Gen X", IF(G125&gt;=25, "Millennial", "Gen Z")))</f>
        <v/>
      </c>
      <c r="I125" s="7" t="inlineStr">
        <is>
          <t>Checking</t>
        </is>
      </c>
      <c r="J125" s="7" t="inlineStr">
        <is>
          <t>Groceries</t>
        </is>
      </c>
      <c r="K125" s="9" t="n">
        <v>4860.45</v>
      </c>
      <c r="L125" s="9" t="n">
        <v>17939.89</v>
      </c>
      <c r="M125" s="7" t="inlineStr">
        <is>
          <t>Online Banking</t>
        </is>
      </c>
      <c r="N125" s="7" t="inlineStr">
        <is>
          <t>N</t>
        </is>
      </c>
      <c r="O125" s="7">
        <f>TEXT(D125, "dddd")</f>
        <v/>
      </c>
      <c r="P125" s="7">
        <f>"Q"&amp;ROUNDUP(MONTH(D125)/3, 0)</f>
        <v/>
      </c>
    </row>
    <row r="126">
      <c r="A126" s="4" t="inlineStr">
        <is>
          <t>TXN100129</t>
        </is>
      </c>
      <c r="B126" s="4" t="inlineStr">
        <is>
          <t>CUST0129</t>
        </is>
      </c>
      <c r="C126" s="4" t="inlineStr">
        <is>
          <t>2026-06-01 19:16:00</t>
        </is>
      </c>
      <c r="D126" s="4">
        <f>TEXT(LEFT(C126,10),"YYYY-MM-DD")</f>
        <v/>
      </c>
      <c r="E126" s="5">
        <f>HOUR(C126)</f>
        <v/>
      </c>
      <c r="F126" s="4" t="inlineStr">
        <is>
          <t>Male</t>
        </is>
      </c>
      <c r="G126" s="5" t="n">
        <v>60</v>
      </c>
      <c r="H126" s="4">
        <f>IF(G126&gt;=60, "Boomer", IF(G126&gt;=45, "Gen X", IF(G126&gt;=25, "Millennial", "Gen Z")))</f>
        <v/>
      </c>
      <c r="I126" s="4" t="inlineStr">
        <is>
          <t>Savings</t>
        </is>
      </c>
      <c r="J126" s="4" t="inlineStr">
        <is>
          <t>Groceries</t>
        </is>
      </c>
      <c r="K126" s="6" t="n">
        <v>2478.37</v>
      </c>
      <c r="L126" s="6" t="n">
        <v>22320.75</v>
      </c>
      <c r="M126" s="4" t="inlineStr">
        <is>
          <t>Branch Office</t>
        </is>
      </c>
      <c r="N126" s="4" t="inlineStr">
        <is>
          <t>N</t>
        </is>
      </c>
      <c r="O126" s="4">
        <f>TEXT(D126, "dddd")</f>
        <v/>
      </c>
      <c r="P126" s="4">
        <f>"Q"&amp;ROUNDUP(MONTH(D126)/3, 0)</f>
        <v/>
      </c>
    </row>
    <row r="127">
      <c r="A127" s="7" t="inlineStr">
        <is>
          <t>TXN100130</t>
        </is>
      </c>
      <c r="B127" s="7" t="inlineStr">
        <is>
          <t>CUST0130</t>
        </is>
      </c>
      <c r="C127" s="7" t="inlineStr">
        <is>
          <t>2026-06-01 23:08:00</t>
        </is>
      </c>
      <c r="D127" s="7">
        <f>TEXT(LEFT(C127,10),"YYYY-MM-DD")</f>
        <v/>
      </c>
      <c r="E127" s="8">
        <f>HOUR(C127)</f>
        <v/>
      </c>
      <c r="F127" s="7" t="inlineStr">
        <is>
          <t>Male</t>
        </is>
      </c>
      <c r="G127" s="8" t="n">
        <v>38</v>
      </c>
      <c r="H127" s="7">
        <f>IF(G127&gt;=60, "Boomer", IF(G127&gt;=45, "Gen X", IF(G127&gt;=25, "Millennial", "Gen Z")))</f>
        <v/>
      </c>
      <c r="I127" s="7" t="inlineStr">
        <is>
          <t>Checking</t>
        </is>
      </c>
      <c r="J127" s="7" t="inlineStr">
        <is>
          <t>Utilities</t>
        </is>
      </c>
      <c r="K127" s="9" t="n">
        <v>1413.36</v>
      </c>
      <c r="L127" s="9" t="n">
        <v>7041.91</v>
      </c>
      <c r="M127" s="7" t="inlineStr">
        <is>
          <t>Branch Office</t>
        </is>
      </c>
      <c r="N127" s="7" t="inlineStr">
        <is>
          <t>N</t>
        </is>
      </c>
      <c r="O127" s="7">
        <f>TEXT(D127, "dddd")</f>
        <v/>
      </c>
      <c r="P127" s="7">
        <f>"Q"&amp;ROUNDUP(MONTH(D127)/3, 0)</f>
        <v/>
      </c>
    </row>
    <row r="128">
      <c r="A128" s="4" t="inlineStr">
        <is>
          <t>TXN100131</t>
        </is>
      </c>
      <c r="B128" s="4" t="inlineStr">
        <is>
          <t>CUST0131</t>
        </is>
      </c>
      <c r="C128" s="4" t="inlineStr">
        <is>
          <t>2026-06-01 16:32:00</t>
        </is>
      </c>
      <c r="D128" s="4">
        <f>TEXT(LEFT(C128,10),"YYYY-MM-DD")</f>
        <v/>
      </c>
      <c r="E128" s="5">
        <f>HOUR(C128)</f>
        <v/>
      </c>
      <c r="F128" s="4" t="inlineStr">
        <is>
          <t>Female</t>
        </is>
      </c>
      <c r="G128" s="5" t="n">
        <v>73</v>
      </c>
      <c r="H128" s="4">
        <f>IF(G128&gt;=60, "Boomer", IF(G128&gt;=45, "Gen X", IF(G128&gt;=25, "Millennial", "Gen Z")))</f>
        <v/>
      </c>
      <c r="I128" s="4" t="inlineStr">
        <is>
          <t>Savings</t>
        </is>
      </c>
      <c r="J128" s="4" t="inlineStr">
        <is>
          <t>Entertainment</t>
        </is>
      </c>
      <c r="K128" s="6" t="n">
        <v>7313.25</v>
      </c>
      <c r="L128" s="6" t="n">
        <v>47237.3</v>
      </c>
      <c r="M128" s="4" t="inlineStr">
        <is>
          <t>Branch Office</t>
        </is>
      </c>
      <c r="N128" s="4" t="inlineStr">
        <is>
          <t>Y</t>
        </is>
      </c>
      <c r="O128" s="4">
        <f>TEXT(D128, "dddd")</f>
        <v/>
      </c>
      <c r="P128" s="4">
        <f>"Q"&amp;ROUNDUP(MONTH(D128)/3, 0)</f>
        <v/>
      </c>
    </row>
    <row r="129">
      <c r="A129" s="7" t="inlineStr">
        <is>
          <t>TXN100132</t>
        </is>
      </c>
      <c r="B129" s="7" t="inlineStr">
        <is>
          <t>CUST0132</t>
        </is>
      </c>
      <c r="C129" s="7" t="inlineStr">
        <is>
          <t>2026-06-01 10:51:00</t>
        </is>
      </c>
      <c r="D129" s="7">
        <f>TEXT(LEFT(C129,10),"YYYY-MM-DD")</f>
        <v/>
      </c>
      <c r="E129" s="8">
        <f>HOUR(C129)</f>
        <v/>
      </c>
      <c r="F129" s="7" t="inlineStr">
        <is>
          <t>Male</t>
        </is>
      </c>
      <c r="G129" s="8" t="n">
        <v>49</v>
      </c>
      <c r="H129" s="7">
        <f>IF(G129&gt;=60, "Boomer", IF(G129&gt;=45, "Gen X", IF(G129&gt;=25, "Millennial", "Gen Z")))</f>
        <v/>
      </c>
      <c r="I129" s="7" t="inlineStr">
        <is>
          <t>Savings</t>
        </is>
      </c>
      <c r="J129" s="7" t="inlineStr">
        <is>
          <t>Groceries</t>
        </is>
      </c>
      <c r="K129" s="9" t="n">
        <v>6035.67</v>
      </c>
      <c r="L129" s="9" t="n">
        <v>11667.93</v>
      </c>
      <c r="M129" s="7" t="inlineStr">
        <is>
          <t>ATM</t>
        </is>
      </c>
      <c r="N129" s="7" t="inlineStr">
        <is>
          <t>N</t>
        </is>
      </c>
      <c r="O129" s="7">
        <f>TEXT(D129, "dddd")</f>
        <v/>
      </c>
      <c r="P129" s="7">
        <f>"Q"&amp;ROUNDUP(MONTH(D129)/3, 0)</f>
        <v/>
      </c>
    </row>
    <row r="130">
      <c r="A130" s="4" t="inlineStr">
        <is>
          <t>TXN100133</t>
        </is>
      </c>
      <c r="B130" s="4" t="inlineStr">
        <is>
          <t>CUST0133</t>
        </is>
      </c>
      <c r="C130" s="4" t="inlineStr">
        <is>
          <t>2026-06-01 17:23:00</t>
        </is>
      </c>
      <c r="D130" s="4">
        <f>TEXT(LEFT(C130,10),"YYYY-MM-DD")</f>
        <v/>
      </c>
      <c r="E130" s="5">
        <f>HOUR(C130)</f>
        <v/>
      </c>
      <c r="F130" s="4" t="inlineStr">
        <is>
          <t>Male</t>
        </is>
      </c>
      <c r="G130" s="5" t="n">
        <v>70</v>
      </c>
      <c r="H130" s="4">
        <f>IF(G130&gt;=60, "Boomer", IF(G130&gt;=45, "Gen X", IF(G130&gt;=25, "Millennial", "Gen Z")))</f>
        <v/>
      </c>
      <c r="I130" s="4" t="inlineStr">
        <is>
          <t>Checking</t>
        </is>
      </c>
      <c r="J130" s="4" t="inlineStr">
        <is>
          <t>Groceries</t>
        </is>
      </c>
      <c r="K130" s="6" t="n">
        <v>2123.02</v>
      </c>
      <c r="L130" s="6" t="n">
        <v>6617.64</v>
      </c>
      <c r="M130" s="4" t="inlineStr">
        <is>
          <t>Branch Office</t>
        </is>
      </c>
      <c r="N130" s="4" t="inlineStr">
        <is>
          <t>N</t>
        </is>
      </c>
      <c r="O130" s="4">
        <f>TEXT(D130, "dddd")</f>
        <v/>
      </c>
      <c r="P130" s="4">
        <f>"Q"&amp;ROUNDUP(MONTH(D130)/3, 0)</f>
        <v/>
      </c>
    </row>
    <row r="131">
      <c r="A131" s="7" t="inlineStr">
        <is>
          <t>TXN100134</t>
        </is>
      </c>
      <c r="B131" s="7" t="inlineStr">
        <is>
          <t>CUST0134</t>
        </is>
      </c>
      <c r="C131" s="7" t="inlineStr">
        <is>
          <t>2026-06-01 21:47:00</t>
        </is>
      </c>
      <c r="D131" s="7">
        <f>TEXT(LEFT(C131,10),"YYYY-MM-DD")</f>
        <v/>
      </c>
      <c r="E131" s="8">
        <f>HOUR(C131)</f>
        <v/>
      </c>
      <c r="F131" s="7" t="inlineStr">
        <is>
          <t>Female</t>
        </is>
      </c>
      <c r="G131" s="8" t="n">
        <v>57</v>
      </c>
      <c r="H131" s="7">
        <f>IF(G131&gt;=60, "Boomer", IF(G131&gt;=45, "Gen X", IF(G131&gt;=25, "Millennial", "Gen Z")))</f>
        <v/>
      </c>
      <c r="I131" s="7" t="inlineStr">
        <is>
          <t>Checking</t>
        </is>
      </c>
      <c r="J131" s="7" t="inlineStr">
        <is>
          <t>Entertainment</t>
        </is>
      </c>
      <c r="K131" s="9" t="n">
        <v>875.6900000000001</v>
      </c>
      <c r="L131" s="9" t="n">
        <v>12074.18</v>
      </c>
      <c r="M131" s="7" t="inlineStr">
        <is>
          <t>Mobile App</t>
        </is>
      </c>
      <c r="N131" s="7" t="inlineStr">
        <is>
          <t>N</t>
        </is>
      </c>
      <c r="O131" s="7">
        <f>TEXT(D131, "dddd")</f>
        <v/>
      </c>
      <c r="P131" s="7">
        <f>"Q"&amp;ROUNDUP(MONTH(D131)/3, 0)</f>
        <v/>
      </c>
    </row>
    <row r="132">
      <c r="A132" s="4" t="inlineStr">
        <is>
          <t>TXN100135</t>
        </is>
      </c>
      <c r="B132" s="4" t="inlineStr">
        <is>
          <t>CUST0135</t>
        </is>
      </c>
      <c r="C132" s="4" t="inlineStr">
        <is>
          <t>2026-06-01 19:56:00</t>
        </is>
      </c>
      <c r="D132" s="4">
        <f>TEXT(LEFT(C132,10),"YYYY-MM-DD")</f>
        <v/>
      </c>
      <c r="E132" s="5">
        <f>HOUR(C132)</f>
        <v/>
      </c>
      <c r="F132" s="4" t="inlineStr">
        <is>
          <t>Female</t>
        </is>
      </c>
      <c r="G132" s="5" t="n">
        <v>59</v>
      </c>
      <c r="H132" s="4">
        <f>IF(G132&gt;=60, "Boomer", IF(G132&gt;=45, "Gen X", IF(G132&gt;=25, "Millennial", "Gen Z")))</f>
        <v/>
      </c>
      <c r="I132" s="4" t="inlineStr">
        <is>
          <t>Savings</t>
        </is>
      </c>
      <c r="J132" s="4" t="inlineStr">
        <is>
          <t>Groceries</t>
        </is>
      </c>
      <c r="K132" s="6" t="n">
        <v>5086.88</v>
      </c>
      <c r="L132" s="6" t="n">
        <v>23481.24</v>
      </c>
      <c r="M132" s="4" t="inlineStr">
        <is>
          <t>Branch Office</t>
        </is>
      </c>
      <c r="N132" s="4" t="inlineStr">
        <is>
          <t>N</t>
        </is>
      </c>
      <c r="O132" s="4">
        <f>TEXT(D132, "dddd")</f>
        <v/>
      </c>
      <c r="P132" s="4">
        <f>"Q"&amp;ROUNDUP(MONTH(D132)/3, 0)</f>
        <v/>
      </c>
    </row>
    <row r="133">
      <c r="A133" s="7" t="inlineStr">
        <is>
          <t>TXN100136</t>
        </is>
      </c>
      <c r="B133" s="7" t="inlineStr">
        <is>
          <t>CUST0136</t>
        </is>
      </c>
      <c r="C133" s="7" t="inlineStr">
        <is>
          <t>2026-06-01 20:26:00</t>
        </is>
      </c>
      <c r="D133" s="7">
        <f>TEXT(LEFT(C133,10),"YYYY-MM-DD")</f>
        <v/>
      </c>
      <c r="E133" s="8">
        <f>HOUR(C133)</f>
        <v/>
      </c>
      <c r="F133" s="7" t="inlineStr">
        <is>
          <t>Male</t>
        </is>
      </c>
      <c r="G133" s="8" t="n">
        <v>28</v>
      </c>
      <c r="H133" s="7">
        <f>IF(G133&gt;=60, "Boomer", IF(G133&gt;=45, "Gen X", IF(G133&gt;=25, "Millennial", "Gen Z")))</f>
        <v/>
      </c>
      <c r="I133" s="7" t="inlineStr">
        <is>
          <t>Savings</t>
        </is>
      </c>
      <c r="J133" s="7" t="inlineStr">
        <is>
          <t>Groceries</t>
        </is>
      </c>
      <c r="K133" s="9" t="n">
        <v>2441.87</v>
      </c>
      <c r="L133" s="9" t="n">
        <v>24884.92</v>
      </c>
      <c r="M133" s="7" t="inlineStr">
        <is>
          <t>Mobile App</t>
        </is>
      </c>
      <c r="N133" s="7" t="inlineStr">
        <is>
          <t>N</t>
        </is>
      </c>
      <c r="O133" s="7">
        <f>TEXT(D133, "dddd")</f>
        <v/>
      </c>
      <c r="P133" s="7">
        <f>"Q"&amp;ROUNDUP(MONTH(D133)/3, 0)</f>
        <v/>
      </c>
    </row>
    <row r="134">
      <c r="A134" s="4" t="inlineStr">
        <is>
          <t>TXN100137</t>
        </is>
      </c>
      <c r="B134" s="4" t="inlineStr">
        <is>
          <t>CUST0137</t>
        </is>
      </c>
      <c r="C134" s="4" t="inlineStr">
        <is>
          <t>2026-06-01 07:56:00</t>
        </is>
      </c>
      <c r="D134" s="4">
        <f>TEXT(LEFT(C134,10),"YYYY-MM-DD")</f>
        <v/>
      </c>
      <c r="E134" s="5">
        <f>HOUR(C134)</f>
        <v/>
      </c>
      <c r="F134" s="4" t="inlineStr">
        <is>
          <t>Male</t>
        </is>
      </c>
      <c r="G134" s="5" t="n">
        <v>44</v>
      </c>
      <c r="H134" s="4">
        <f>IF(G134&gt;=60, "Boomer", IF(G134&gt;=45, "Gen X", IF(G134&gt;=25, "Millennial", "Gen Z")))</f>
        <v/>
      </c>
      <c r="I134" s="4" t="inlineStr">
        <is>
          <t>Checking</t>
        </is>
      </c>
      <c r="J134" s="4" t="inlineStr">
        <is>
          <t>Entertainment</t>
        </is>
      </c>
      <c r="K134" s="6" t="n">
        <v>5367.18</v>
      </c>
      <c r="L134" s="6" t="n">
        <v>37285.44</v>
      </c>
      <c r="M134" s="4" t="inlineStr">
        <is>
          <t>ATM</t>
        </is>
      </c>
      <c r="N134" s="4" t="inlineStr">
        <is>
          <t>N</t>
        </is>
      </c>
      <c r="O134" s="4">
        <f>TEXT(D134, "dddd")</f>
        <v/>
      </c>
      <c r="P134" s="4">
        <f>"Q"&amp;ROUNDUP(MONTH(D134)/3, 0)</f>
        <v/>
      </c>
    </row>
    <row r="135">
      <c r="A135" s="7" t="inlineStr">
        <is>
          <t>TXN100138</t>
        </is>
      </c>
      <c r="B135" s="7" t="inlineStr">
        <is>
          <t>CUST0138</t>
        </is>
      </c>
      <c r="C135" s="7" t="inlineStr">
        <is>
          <t>2026-06-01 18:47:00</t>
        </is>
      </c>
      <c r="D135" s="7">
        <f>TEXT(LEFT(C135,10),"YYYY-MM-DD")</f>
        <v/>
      </c>
      <c r="E135" s="8">
        <f>HOUR(C135)</f>
        <v/>
      </c>
      <c r="F135" s="7" t="inlineStr">
        <is>
          <t>Male</t>
        </is>
      </c>
      <c r="G135" s="8" t="n">
        <v>46</v>
      </c>
      <c r="H135" s="7">
        <f>IF(G135&gt;=60, "Boomer", IF(G135&gt;=45, "Gen X", IF(G135&gt;=25, "Millennial", "Gen Z")))</f>
        <v/>
      </c>
      <c r="I135" s="7" t="inlineStr">
        <is>
          <t>Investment</t>
        </is>
      </c>
      <c r="J135" s="7" t="inlineStr">
        <is>
          <t>Groceries</t>
        </is>
      </c>
      <c r="K135" s="9" t="n">
        <v>6671.21</v>
      </c>
      <c r="L135" s="9" t="n">
        <v>30974.78</v>
      </c>
      <c r="M135" s="7" t="inlineStr">
        <is>
          <t>Branch Office</t>
        </is>
      </c>
      <c r="N135" s="7" t="inlineStr">
        <is>
          <t>N</t>
        </is>
      </c>
      <c r="O135" s="7">
        <f>TEXT(D135, "dddd")</f>
        <v/>
      </c>
      <c r="P135" s="7">
        <f>"Q"&amp;ROUNDUP(MONTH(D135)/3, 0)</f>
        <v/>
      </c>
    </row>
    <row r="136">
      <c r="A136" s="4" t="inlineStr">
        <is>
          <t>TXN100139</t>
        </is>
      </c>
      <c r="B136" s="4" t="inlineStr">
        <is>
          <t>CUST0139</t>
        </is>
      </c>
      <c r="C136" s="4" t="inlineStr">
        <is>
          <t>2026-06-01 01:44:00</t>
        </is>
      </c>
      <c r="D136" s="4">
        <f>TEXT(LEFT(C136,10),"YYYY-MM-DD")</f>
        <v/>
      </c>
      <c r="E136" s="5">
        <f>HOUR(C136)</f>
        <v/>
      </c>
      <c r="F136" s="4" t="inlineStr">
        <is>
          <t>Female</t>
        </is>
      </c>
      <c r="G136" s="5" t="n">
        <v>33</v>
      </c>
      <c r="H136" s="4">
        <f>IF(G136&gt;=60, "Boomer", IF(G136&gt;=45, "Gen X", IF(G136&gt;=25, "Millennial", "Gen Z")))</f>
        <v/>
      </c>
      <c r="I136" s="4" t="inlineStr">
        <is>
          <t>Checking</t>
        </is>
      </c>
      <c r="J136" s="4" t="inlineStr">
        <is>
          <t>Utilities</t>
        </is>
      </c>
      <c r="K136" s="6" t="n">
        <v>7604.94</v>
      </c>
      <c r="L136" s="6" t="n">
        <v>42844.78</v>
      </c>
      <c r="M136" s="4" t="inlineStr">
        <is>
          <t>Mobile App</t>
        </is>
      </c>
      <c r="N136" s="4" t="inlineStr">
        <is>
          <t>Y</t>
        </is>
      </c>
      <c r="O136" s="4">
        <f>TEXT(D136, "dddd")</f>
        <v/>
      </c>
      <c r="P136" s="4">
        <f>"Q"&amp;ROUNDUP(MONTH(D136)/3, 0)</f>
        <v/>
      </c>
    </row>
    <row r="137">
      <c r="A137" s="7" t="inlineStr">
        <is>
          <t>TXN100140</t>
        </is>
      </c>
      <c r="B137" s="7" t="inlineStr">
        <is>
          <t>CUST0140</t>
        </is>
      </c>
      <c r="C137" s="7" t="inlineStr">
        <is>
          <t>2026-06-01 11:34:00</t>
        </is>
      </c>
      <c r="D137" s="7">
        <f>TEXT(LEFT(C137,10),"YYYY-MM-DD")</f>
        <v/>
      </c>
      <c r="E137" s="8">
        <f>HOUR(C137)</f>
        <v/>
      </c>
      <c r="F137" s="7" t="inlineStr">
        <is>
          <t>Female</t>
        </is>
      </c>
      <c r="G137" s="8" t="n">
        <v>23</v>
      </c>
      <c r="H137" s="7">
        <f>IF(G137&gt;=60, "Boomer", IF(G137&gt;=45, "Gen X", IF(G137&gt;=25, "Millennial", "Gen Z")))</f>
        <v/>
      </c>
      <c r="I137" s="7" t="inlineStr">
        <is>
          <t>Checking</t>
        </is>
      </c>
      <c r="J137" s="7" t="inlineStr">
        <is>
          <t>Entertainment</t>
        </is>
      </c>
      <c r="K137" s="9" t="n">
        <v>1526.57</v>
      </c>
      <c r="L137" s="9" t="n">
        <v>6546.91</v>
      </c>
      <c r="M137" s="7" t="inlineStr">
        <is>
          <t>ATM</t>
        </is>
      </c>
      <c r="N137" s="7" t="inlineStr">
        <is>
          <t>N</t>
        </is>
      </c>
      <c r="O137" s="7">
        <f>TEXT(D137, "dddd")</f>
        <v/>
      </c>
      <c r="P137" s="7">
        <f>"Q"&amp;ROUNDUP(MONTH(D137)/3, 0)</f>
        <v/>
      </c>
    </row>
    <row r="138">
      <c r="A138" s="4" t="inlineStr">
        <is>
          <t>TXN100141</t>
        </is>
      </c>
      <c r="B138" s="4" t="inlineStr">
        <is>
          <t>CUST0141</t>
        </is>
      </c>
      <c r="C138" s="4" t="inlineStr">
        <is>
          <t>2026-06-01 02:42:00</t>
        </is>
      </c>
      <c r="D138" s="4">
        <f>TEXT(LEFT(C138,10),"YYYY-MM-DD")</f>
        <v/>
      </c>
      <c r="E138" s="5">
        <f>HOUR(C138)</f>
        <v/>
      </c>
      <c r="F138" s="4" t="inlineStr">
        <is>
          <t>Female</t>
        </is>
      </c>
      <c r="G138" s="5" t="n">
        <v>61</v>
      </c>
      <c r="H138" s="4">
        <f>IF(G138&gt;=60, "Boomer", IF(G138&gt;=45, "Gen X", IF(G138&gt;=25, "Millennial", "Gen Z")))</f>
        <v/>
      </c>
      <c r="I138" s="4" t="inlineStr">
        <is>
          <t>Investment</t>
        </is>
      </c>
      <c r="J138" s="4" t="inlineStr">
        <is>
          <t>Travel</t>
        </is>
      </c>
      <c r="K138" s="6" t="n">
        <v>7769.04</v>
      </c>
      <c r="L138" s="6" t="n">
        <v>3003.64</v>
      </c>
      <c r="M138" s="4" t="inlineStr">
        <is>
          <t>Branch Office</t>
        </is>
      </c>
      <c r="N138" s="4" t="inlineStr">
        <is>
          <t>N</t>
        </is>
      </c>
      <c r="O138" s="4">
        <f>TEXT(D138, "dddd")</f>
        <v/>
      </c>
      <c r="P138" s="4">
        <f>"Q"&amp;ROUNDUP(MONTH(D138)/3, 0)</f>
        <v/>
      </c>
    </row>
    <row r="139">
      <c r="A139" s="7" t="inlineStr">
        <is>
          <t>TXN100142</t>
        </is>
      </c>
      <c r="B139" s="7" t="inlineStr">
        <is>
          <t>CUST0142</t>
        </is>
      </c>
      <c r="C139" s="7" t="inlineStr">
        <is>
          <t>2026-06-01 04:50:00</t>
        </is>
      </c>
      <c r="D139" s="7">
        <f>TEXT(LEFT(C139,10),"YYYY-MM-DD")</f>
        <v/>
      </c>
      <c r="E139" s="8">
        <f>HOUR(C139)</f>
        <v/>
      </c>
      <c r="F139" s="7" t="inlineStr">
        <is>
          <t>Female</t>
        </is>
      </c>
      <c r="G139" s="8" t="n">
        <v>24</v>
      </c>
      <c r="H139" s="7">
        <f>IF(G139&gt;=60, "Boomer", IF(G139&gt;=45, "Gen X", IF(G139&gt;=25, "Millennial", "Gen Z")))</f>
        <v/>
      </c>
      <c r="I139" s="7" t="inlineStr">
        <is>
          <t>Investment</t>
        </is>
      </c>
      <c r="J139" s="7" t="inlineStr">
        <is>
          <t>Groceries</t>
        </is>
      </c>
      <c r="K139" s="9" t="n">
        <v>4695.2</v>
      </c>
      <c r="L139" s="9" t="n">
        <v>40746.12</v>
      </c>
      <c r="M139" s="7" t="inlineStr">
        <is>
          <t>Online Banking</t>
        </is>
      </c>
      <c r="N139" s="7" t="inlineStr">
        <is>
          <t>N</t>
        </is>
      </c>
      <c r="O139" s="7">
        <f>TEXT(D139, "dddd")</f>
        <v/>
      </c>
      <c r="P139" s="7">
        <f>"Q"&amp;ROUNDUP(MONTH(D139)/3, 0)</f>
        <v/>
      </c>
    </row>
    <row r="140">
      <c r="A140" s="4" t="inlineStr">
        <is>
          <t>TXN100143</t>
        </is>
      </c>
      <c r="B140" s="4" t="inlineStr">
        <is>
          <t>CUST0143</t>
        </is>
      </c>
      <c r="C140" s="4" t="inlineStr">
        <is>
          <t>2026-06-01 10:49:00</t>
        </is>
      </c>
      <c r="D140" s="4">
        <f>TEXT(LEFT(C140,10),"YYYY-MM-DD")</f>
        <v/>
      </c>
      <c r="E140" s="5">
        <f>HOUR(C140)</f>
        <v/>
      </c>
      <c r="F140" s="4" t="inlineStr">
        <is>
          <t>Male</t>
        </is>
      </c>
      <c r="G140" s="5" t="n">
        <v>70</v>
      </c>
      <c r="H140" s="4">
        <f>IF(G140&gt;=60, "Boomer", IF(G140&gt;=45, "Gen X", IF(G140&gt;=25, "Millennial", "Gen Z")))</f>
        <v/>
      </c>
      <c r="I140" s="4" t="inlineStr">
        <is>
          <t>Investment</t>
        </is>
      </c>
      <c r="J140" s="4" t="inlineStr">
        <is>
          <t>Groceries</t>
        </is>
      </c>
      <c r="K140" s="6" t="n">
        <v>2225.43</v>
      </c>
      <c r="L140" s="6" t="n">
        <v>49209.39</v>
      </c>
      <c r="M140" s="4" t="inlineStr">
        <is>
          <t>Online Banking</t>
        </is>
      </c>
      <c r="N140" s="4" t="inlineStr">
        <is>
          <t>N</t>
        </is>
      </c>
      <c r="O140" s="4">
        <f>TEXT(D140, "dddd")</f>
        <v/>
      </c>
      <c r="P140" s="4">
        <f>"Q"&amp;ROUNDUP(MONTH(D140)/3, 0)</f>
        <v/>
      </c>
    </row>
    <row r="141">
      <c r="A141" s="7" t="inlineStr">
        <is>
          <t>TXN100144</t>
        </is>
      </c>
      <c r="B141" s="7" t="inlineStr">
        <is>
          <t>CUST0144</t>
        </is>
      </c>
      <c r="C141" s="7" t="inlineStr">
        <is>
          <t>2026-06-01 17:16:00</t>
        </is>
      </c>
      <c r="D141" s="7">
        <f>TEXT(LEFT(C141,10),"YYYY-MM-DD")</f>
        <v/>
      </c>
      <c r="E141" s="8">
        <f>HOUR(C141)</f>
        <v/>
      </c>
      <c r="F141" s="7" t="inlineStr">
        <is>
          <t>Male</t>
        </is>
      </c>
      <c r="G141" s="8" t="n">
        <v>27</v>
      </c>
      <c r="H141" s="7">
        <f>IF(G141&gt;=60, "Boomer", IF(G141&gt;=45, "Gen X", IF(G141&gt;=25, "Millennial", "Gen Z")))</f>
        <v/>
      </c>
      <c r="I141" s="7" t="inlineStr">
        <is>
          <t>Investment</t>
        </is>
      </c>
      <c r="J141" s="7" t="inlineStr">
        <is>
          <t>Groceries</t>
        </is>
      </c>
      <c r="K141" s="9" t="n">
        <v>1063.11</v>
      </c>
      <c r="L141" s="9" t="n">
        <v>18232.99</v>
      </c>
      <c r="M141" s="7" t="inlineStr">
        <is>
          <t>Online Banking</t>
        </is>
      </c>
      <c r="N141" s="7" t="inlineStr">
        <is>
          <t>N</t>
        </is>
      </c>
      <c r="O141" s="7">
        <f>TEXT(D141, "dddd")</f>
        <v/>
      </c>
      <c r="P141" s="7">
        <f>"Q"&amp;ROUNDUP(MONTH(D141)/3, 0)</f>
        <v/>
      </c>
    </row>
    <row r="142">
      <c r="A142" s="4" t="inlineStr">
        <is>
          <t>TXN100145</t>
        </is>
      </c>
      <c r="B142" s="4" t="inlineStr">
        <is>
          <t>CUST0145</t>
        </is>
      </c>
      <c r="C142" s="4" t="inlineStr">
        <is>
          <t>2026-06-01 18:20:00</t>
        </is>
      </c>
      <c r="D142" s="4">
        <f>TEXT(LEFT(C142,10),"YYYY-MM-DD")</f>
        <v/>
      </c>
      <c r="E142" s="5">
        <f>HOUR(C142)</f>
        <v/>
      </c>
      <c r="F142" s="4" t="inlineStr">
        <is>
          <t>Male</t>
        </is>
      </c>
      <c r="G142" s="5" t="n">
        <v>31</v>
      </c>
      <c r="H142" s="4">
        <f>IF(G142&gt;=60, "Boomer", IF(G142&gt;=45, "Gen X", IF(G142&gt;=25, "Millennial", "Gen Z")))</f>
        <v/>
      </c>
      <c r="I142" s="4" t="inlineStr">
        <is>
          <t>Checking</t>
        </is>
      </c>
      <c r="J142" s="4" t="inlineStr">
        <is>
          <t>Groceries</t>
        </is>
      </c>
      <c r="K142" s="6" t="n">
        <v>1022.8</v>
      </c>
      <c r="L142" s="6" t="n">
        <v>21337.55</v>
      </c>
      <c r="M142" s="4" t="inlineStr">
        <is>
          <t>Mobile App</t>
        </is>
      </c>
      <c r="N142" s="4" t="inlineStr">
        <is>
          <t>N</t>
        </is>
      </c>
      <c r="O142" s="4">
        <f>TEXT(D142, "dddd")</f>
        <v/>
      </c>
      <c r="P142" s="4">
        <f>"Q"&amp;ROUNDUP(MONTH(D142)/3, 0)</f>
        <v/>
      </c>
    </row>
    <row r="143">
      <c r="A143" s="7" t="inlineStr">
        <is>
          <t>TXN100146</t>
        </is>
      </c>
      <c r="B143" s="7" t="inlineStr">
        <is>
          <t>CUST0146</t>
        </is>
      </c>
      <c r="C143" s="7" t="inlineStr">
        <is>
          <t>2026-06-01 23:04:00</t>
        </is>
      </c>
      <c r="D143" s="7">
        <f>TEXT(LEFT(C143,10),"YYYY-MM-DD")</f>
        <v/>
      </c>
      <c r="E143" s="8">
        <f>HOUR(C143)</f>
        <v/>
      </c>
      <c r="F143" s="7" t="inlineStr">
        <is>
          <t>Unspecified</t>
        </is>
      </c>
      <c r="G143" s="8" t="n">
        <v>48</v>
      </c>
      <c r="H143" s="7">
        <f>IF(G143&gt;=60, "Boomer", IF(G143&gt;=45, "Gen X", IF(G143&gt;=25, "Millennial", "Gen Z")))</f>
        <v/>
      </c>
      <c r="I143" s="7" t="inlineStr">
        <is>
          <t>Checking</t>
        </is>
      </c>
      <c r="J143" s="7" t="inlineStr">
        <is>
          <t>Travel</t>
        </is>
      </c>
      <c r="K143" s="9" t="n">
        <v>4753.39</v>
      </c>
      <c r="L143" s="9" t="n">
        <v>22874.27</v>
      </c>
      <c r="M143" s="7" t="inlineStr">
        <is>
          <t>Online Banking</t>
        </is>
      </c>
      <c r="N143" s="7" t="inlineStr">
        <is>
          <t>N</t>
        </is>
      </c>
      <c r="O143" s="7">
        <f>TEXT(D143, "dddd")</f>
        <v/>
      </c>
      <c r="P143" s="7">
        <f>"Q"&amp;ROUNDUP(MONTH(D143)/3, 0)</f>
        <v/>
      </c>
    </row>
    <row r="144">
      <c r="A144" s="4" t="inlineStr">
        <is>
          <t>TXN100147</t>
        </is>
      </c>
      <c r="B144" s="4" t="inlineStr">
        <is>
          <t>CUST0147</t>
        </is>
      </c>
      <c r="C144" s="4" t="inlineStr">
        <is>
          <t>2026-06-01 19:02:00</t>
        </is>
      </c>
      <c r="D144" s="4">
        <f>TEXT(LEFT(C144,10),"YYYY-MM-DD")</f>
        <v/>
      </c>
      <c r="E144" s="5">
        <f>HOUR(C144)</f>
        <v/>
      </c>
      <c r="F144" s="4" t="inlineStr">
        <is>
          <t>Female</t>
        </is>
      </c>
      <c r="G144" s="5" t="n">
        <v>49</v>
      </c>
      <c r="H144" s="4">
        <f>IF(G144&gt;=60, "Boomer", IF(G144&gt;=45, "Gen X", IF(G144&gt;=25, "Millennial", "Gen Z")))</f>
        <v/>
      </c>
      <c r="I144" s="4" t="inlineStr">
        <is>
          <t>Investment</t>
        </is>
      </c>
      <c r="J144" s="4" t="inlineStr">
        <is>
          <t>Groceries</t>
        </is>
      </c>
      <c r="K144" s="6" t="n">
        <v>496</v>
      </c>
      <c r="L144" s="6" t="n">
        <v>24209.6</v>
      </c>
      <c r="M144" s="4" t="inlineStr">
        <is>
          <t>ATM</t>
        </is>
      </c>
      <c r="N144" s="4" t="inlineStr">
        <is>
          <t>N</t>
        </is>
      </c>
      <c r="O144" s="4">
        <f>TEXT(D144, "dddd")</f>
        <v/>
      </c>
      <c r="P144" s="4">
        <f>"Q"&amp;ROUNDUP(MONTH(D144)/3, 0)</f>
        <v/>
      </c>
    </row>
    <row r="145">
      <c r="A145" s="7" t="inlineStr">
        <is>
          <t>TXN100148</t>
        </is>
      </c>
      <c r="B145" s="7" t="inlineStr">
        <is>
          <t>CUST0148</t>
        </is>
      </c>
      <c r="C145" s="7" t="inlineStr">
        <is>
          <t>2026-06-01 13:43:00</t>
        </is>
      </c>
      <c r="D145" s="7">
        <f>TEXT(LEFT(C145,10),"YYYY-MM-DD")</f>
        <v/>
      </c>
      <c r="E145" s="8">
        <f>HOUR(C145)</f>
        <v/>
      </c>
      <c r="F145" s="7" t="inlineStr">
        <is>
          <t>Male</t>
        </is>
      </c>
      <c r="G145" s="8" t="n">
        <v>51</v>
      </c>
      <c r="H145" s="7">
        <f>IF(G145&gt;=60, "Boomer", IF(G145&gt;=45, "Gen X", IF(G145&gt;=25, "Millennial", "Gen Z")))</f>
        <v/>
      </c>
      <c r="I145" s="7" t="inlineStr">
        <is>
          <t>Investment</t>
        </is>
      </c>
      <c r="J145" s="7" t="inlineStr">
        <is>
          <t>Utilities</t>
        </is>
      </c>
      <c r="K145" s="9" t="n">
        <v>597.1900000000001</v>
      </c>
      <c r="L145" s="9" t="n">
        <v>4499.13</v>
      </c>
      <c r="M145" s="7" t="inlineStr">
        <is>
          <t>Online Banking</t>
        </is>
      </c>
      <c r="N145" s="7" t="inlineStr">
        <is>
          <t>N</t>
        </is>
      </c>
      <c r="O145" s="7">
        <f>TEXT(D145, "dddd")</f>
        <v/>
      </c>
      <c r="P145" s="7">
        <f>"Q"&amp;ROUNDUP(MONTH(D145)/3, 0)</f>
        <v/>
      </c>
    </row>
    <row r="146">
      <c r="A146" s="4" t="inlineStr">
        <is>
          <t>TXN100149</t>
        </is>
      </c>
      <c r="B146" s="4" t="inlineStr">
        <is>
          <t>CUST0149</t>
        </is>
      </c>
      <c r="C146" s="4" t="inlineStr">
        <is>
          <t>2026-06-01 02:08:00</t>
        </is>
      </c>
      <c r="D146" s="4">
        <f>TEXT(LEFT(C146,10),"YYYY-MM-DD")</f>
        <v/>
      </c>
      <c r="E146" s="5">
        <f>HOUR(C146)</f>
        <v/>
      </c>
      <c r="F146" s="4" t="inlineStr">
        <is>
          <t>Female</t>
        </is>
      </c>
      <c r="G146" s="5" t="n">
        <v>59</v>
      </c>
      <c r="H146" s="4">
        <f>IF(G146&gt;=60, "Boomer", IF(G146&gt;=45, "Gen X", IF(G146&gt;=25, "Millennial", "Gen Z")))</f>
        <v/>
      </c>
      <c r="I146" s="4" t="inlineStr">
        <is>
          <t>Investment</t>
        </is>
      </c>
      <c r="J146" s="4" t="inlineStr">
        <is>
          <t>Travel</t>
        </is>
      </c>
      <c r="K146" s="6" t="n">
        <v>4391.37</v>
      </c>
      <c r="L146" s="6" t="n">
        <v>16596.68</v>
      </c>
      <c r="M146" s="4" t="inlineStr">
        <is>
          <t>Branch Office</t>
        </is>
      </c>
      <c r="N146" s="4" t="inlineStr">
        <is>
          <t>N</t>
        </is>
      </c>
      <c r="O146" s="4">
        <f>TEXT(D146, "dddd")</f>
        <v/>
      </c>
      <c r="P146" s="4">
        <f>"Q"&amp;ROUNDUP(MONTH(D146)/3, 0)</f>
        <v/>
      </c>
    </row>
    <row r="147">
      <c r="A147" s="7" t="inlineStr">
        <is>
          <t>TXN100150</t>
        </is>
      </c>
      <c r="B147" s="7" t="inlineStr">
        <is>
          <t>CUST0150</t>
        </is>
      </c>
      <c r="C147" s="7" t="inlineStr">
        <is>
          <t>2026-06-01 14:32:00</t>
        </is>
      </c>
      <c r="D147" s="7">
        <f>TEXT(LEFT(C147,10),"YYYY-MM-DD")</f>
        <v/>
      </c>
      <c r="E147" s="8">
        <f>HOUR(C147)</f>
        <v/>
      </c>
      <c r="F147" s="7" t="inlineStr">
        <is>
          <t>Unspecified</t>
        </is>
      </c>
      <c r="G147" s="8" t="n">
        <v>26</v>
      </c>
      <c r="H147" s="7">
        <f>IF(G147&gt;=60, "Boomer", IF(G147&gt;=45, "Gen X", IF(G147&gt;=25, "Millennial", "Gen Z")))</f>
        <v/>
      </c>
      <c r="I147" s="7" t="inlineStr">
        <is>
          <t>Investment</t>
        </is>
      </c>
      <c r="J147" s="7" t="inlineStr">
        <is>
          <t>Groceries</t>
        </is>
      </c>
      <c r="K147" s="9" t="n">
        <v>6823.81</v>
      </c>
      <c r="L147" s="9" t="n">
        <v>32720.37</v>
      </c>
      <c r="M147" s="7" t="inlineStr">
        <is>
          <t>Online Banking</t>
        </is>
      </c>
      <c r="N147" s="7" t="inlineStr">
        <is>
          <t>N</t>
        </is>
      </c>
      <c r="O147" s="7">
        <f>TEXT(D147, "dddd")</f>
        <v/>
      </c>
      <c r="P147" s="7">
        <f>"Q"&amp;ROUNDUP(MONTH(D147)/3, 0)</f>
        <v/>
      </c>
    </row>
    <row r="148">
      <c r="A148" s="4" t="inlineStr">
        <is>
          <t>TXN100151</t>
        </is>
      </c>
      <c r="B148" s="4" t="inlineStr">
        <is>
          <t>CUST0151</t>
        </is>
      </c>
      <c r="C148" s="4" t="inlineStr">
        <is>
          <t>2026-06-01 13:28:00</t>
        </is>
      </c>
      <c r="D148" s="4">
        <f>TEXT(LEFT(C148,10),"YYYY-MM-DD")</f>
        <v/>
      </c>
      <c r="E148" s="5">
        <f>HOUR(C148)</f>
        <v/>
      </c>
      <c r="F148" s="4" t="inlineStr">
        <is>
          <t>Female</t>
        </is>
      </c>
      <c r="G148" s="5" t="n">
        <v>46</v>
      </c>
      <c r="H148" s="4">
        <f>IF(G148&gt;=60, "Boomer", IF(G148&gt;=45, "Gen X", IF(G148&gt;=25, "Millennial", "Gen Z")))</f>
        <v/>
      </c>
      <c r="I148" s="4" t="inlineStr">
        <is>
          <t>Checking</t>
        </is>
      </c>
      <c r="J148" s="4" t="inlineStr">
        <is>
          <t>Utilities</t>
        </is>
      </c>
      <c r="K148" s="6" t="n">
        <v>3985.5</v>
      </c>
      <c r="L148" s="6" t="n">
        <v>36615.82</v>
      </c>
      <c r="M148" s="4" t="inlineStr">
        <is>
          <t>Branch Office</t>
        </is>
      </c>
      <c r="N148" s="4" t="inlineStr">
        <is>
          <t>N</t>
        </is>
      </c>
      <c r="O148" s="4">
        <f>TEXT(D148, "dddd")</f>
        <v/>
      </c>
      <c r="P148" s="4">
        <f>"Q"&amp;ROUNDUP(MONTH(D148)/3, 0)</f>
        <v/>
      </c>
    </row>
    <row r="149">
      <c r="A149" s="7" t="inlineStr">
        <is>
          <t>TXN100152</t>
        </is>
      </c>
      <c r="B149" s="7" t="inlineStr">
        <is>
          <t>CUST0152</t>
        </is>
      </c>
      <c r="C149" s="7" t="inlineStr">
        <is>
          <t>2026-06-01 13:20:00</t>
        </is>
      </c>
      <c r="D149" s="7">
        <f>TEXT(LEFT(C149,10),"YYYY-MM-DD")</f>
        <v/>
      </c>
      <c r="E149" s="8">
        <f>HOUR(C149)</f>
        <v/>
      </c>
      <c r="F149" s="7" t="inlineStr">
        <is>
          <t>Female</t>
        </is>
      </c>
      <c r="G149" s="8" t="n">
        <v>43</v>
      </c>
      <c r="H149" s="7">
        <f>IF(G149&gt;=60, "Boomer", IF(G149&gt;=45, "Gen X", IF(G149&gt;=25, "Millennial", "Gen Z")))</f>
        <v/>
      </c>
      <c r="I149" s="7" t="inlineStr">
        <is>
          <t>Savings</t>
        </is>
      </c>
      <c r="J149" s="7" t="inlineStr">
        <is>
          <t>Utilities</t>
        </is>
      </c>
      <c r="K149" s="9" t="n">
        <v>546.4</v>
      </c>
      <c r="L149" s="9" t="n">
        <v>41672.71</v>
      </c>
      <c r="M149" s="7" t="inlineStr">
        <is>
          <t>Mobile App</t>
        </is>
      </c>
      <c r="N149" s="7" t="inlineStr">
        <is>
          <t>N</t>
        </is>
      </c>
      <c r="O149" s="7">
        <f>TEXT(D149, "dddd")</f>
        <v/>
      </c>
      <c r="P149" s="7">
        <f>"Q"&amp;ROUNDUP(MONTH(D149)/3, 0)</f>
        <v/>
      </c>
    </row>
    <row r="150">
      <c r="A150" s="4" t="inlineStr">
        <is>
          <t>TXN100153</t>
        </is>
      </c>
      <c r="B150" s="4" t="inlineStr">
        <is>
          <t>CUST0153</t>
        </is>
      </c>
      <c r="C150" s="4" t="inlineStr">
        <is>
          <t>2026-06-01 13:06:00</t>
        </is>
      </c>
      <c r="D150" s="4">
        <f>TEXT(LEFT(C150,10),"YYYY-MM-DD")</f>
        <v/>
      </c>
      <c r="E150" s="5">
        <f>HOUR(C150)</f>
        <v/>
      </c>
      <c r="F150" s="4" t="inlineStr">
        <is>
          <t>Female</t>
        </is>
      </c>
      <c r="G150" s="5" t="n">
        <v>71</v>
      </c>
      <c r="H150" s="4">
        <f>IF(G150&gt;=60, "Boomer", IF(G150&gt;=45, "Gen X", IF(G150&gt;=25, "Millennial", "Gen Z")))</f>
        <v/>
      </c>
      <c r="I150" s="4" t="inlineStr">
        <is>
          <t>Savings</t>
        </is>
      </c>
      <c r="J150" s="4" t="inlineStr">
        <is>
          <t>Travel</t>
        </is>
      </c>
      <c r="K150" s="6" t="n">
        <v>489.25</v>
      </c>
      <c r="L150" s="6" t="n">
        <v>47852.92</v>
      </c>
      <c r="M150" s="4" t="inlineStr">
        <is>
          <t>Branch Office</t>
        </is>
      </c>
      <c r="N150" s="4" t="inlineStr">
        <is>
          <t>N</t>
        </is>
      </c>
      <c r="O150" s="4">
        <f>TEXT(D150, "dddd")</f>
        <v/>
      </c>
      <c r="P150" s="4">
        <f>"Q"&amp;ROUNDUP(MONTH(D150)/3, 0)</f>
        <v/>
      </c>
    </row>
    <row r="151">
      <c r="A151" s="7" t="inlineStr">
        <is>
          <t>TXN100154</t>
        </is>
      </c>
      <c r="B151" s="7" t="inlineStr">
        <is>
          <t>CUST0154</t>
        </is>
      </c>
      <c r="C151" s="7" t="inlineStr">
        <is>
          <t>2026-06-01 21:07:00</t>
        </is>
      </c>
      <c r="D151" s="7">
        <f>TEXT(LEFT(C151,10),"YYYY-MM-DD")</f>
        <v/>
      </c>
      <c r="E151" s="8">
        <f>HOUR(C151)</f>
        <v/>
      </c>
      <c r="F151" s="7" t="inlineStr">
        <is>
          <t>Unspecified</t>
        </is>
      </c>
      <c r="G151" s="8" t="n">
        <v>42</v>
      </c>
      <c r="H151" s="7">
        <f>IF(G151&gt;=60, "Boomer", IF(G151&gt;=45, "Gen X", IF(G151&gt;=25, "Millennial", "Gen Z")))</f>
        <v/>
      </c>
      <c r="I151" s="7" t="inlineStr">
        <is>
          <t>Investment</t>
        </is>
      </c>
      <c r="J151" s="7" t="inlineStr">
        <is>
          <t>Utilities</t>
        </is>
      </c>
      <c r="K151" s="9" t="n">
        <v>6946.06</v>
      </c>
      <c r="L151" s="9" t="n">
        <v>36192.5</v>
      </c>
      <c r="M151" s="7" t="inlineStr">
        <is>
          <t>Branch Office</t>
        </is>
      </c>
      <c r="N151" s="7" t="inlineStr">
        <is>
          <t>N</t>
        </is>
      </c>
      <c r="O151" s="7">
        <f>TEXT(D151, "dddd")</f>
        <v/>
      </c>
      <c r="P151" s="7">
        <f>"Q"&amp;ROUNDUP(MONTH(D151)/3, 0)</f>
        <v/>
      </c>
    </row>
    <row r="152">
      <c r="A152" s="4" t="inlineStr">
        <is>
          <t>TXN100155</t>
        </is>
      </c>
      <c r="B152" s="4" t="inlineStr">
        <is>
          <t>CUST0155</t>
        </is>
      </c>
      <c r="C152" s="4" t="inlineStr">
        <is>
          <t>2026-06-01 19:19:00</t>
        </is>
      </c>
      <c r="D152" s="4">
        <f>TEXT(LEFT(C152,10),"YYYY-MM-DD")</f>
        <v/>
      </c>
      <c r="E152" s="5">
        <f>HOUR(C152)</f>
        <v/>
      </c>
      <c r="F152" s="4" t="inlineStr">
        <is>
          <t>Female</t>
        </is>
      </c>
      <c r="G152" s="5" t="n">
        <v>26</v>
      </c>
      <c r="H152" s="4">
        <f>IF(G152&gt;=60, "Boomer", IF(G152&gt;=45, "Gen X", IF(G152&gt;=25, "Millennial", "Gen Z")))</f>
        <v/>
      </c>
      <c r="I152" s="4" t="inlineStr">
        <is>
          <t>Investment</t>
        </is>
      </c>
      <c r="J152" s="4" t="inlineStr">
        <is>
          <t>Travel</t>
        </is>
      </c>
      <c r="K152" s="6" t="n">
        <v>1709.78</v>
      </c>
      <c r="L152" s="6" t="n">
        <v>33008.45</v>
      </c>
      <c r="M152" s="4" t="inlineStr">
        <is>
          <t>Online Banking</t>
        </is>
      </c>
      <c r="N152" s="4" t="inlineStr">
        <is>
          <t>N</t>
        </is>
      </c>
      <c r="O152" s="4">
        <f>TEXT(D152, "dddd")</f>
        <v/>
      </c>
      <c r="P152" s="4">
        <f>"Q"&amp;ROUNDUP(MONTH(D152)/3, 0)</f>
        <v/>
      </c>
    </row>
    <row r="153">
      <c r="A153" s="7" t="inlineStr">
        <is>
          <t>TXN100156</t>
        </is>
      </c>
      <c r="B153" s="7" t="inlineStr">
        <is>
          <t>CUST0156</t>
        </is>
      </c>
      <c r="C153" s="7" t="inlineStr">
        <is>
          <t>2026-06-01 03:22:00</t>
        </is>
      </c>
      <c r="D153" s="7">
        <f>TEXT(LEFT(C153,10),"YYYY-MM-DD")</f>
        <v/>
      </c>
      <c r="E153" s="8">
        <f>HOUR(C153)</f>
        <v/>
      </c>
      <c r="F153" s="7" t="inlineStr">
        <is>
          <t>Female</t>
        </is>
      </c>
      <c r="G153" s="8" t="n">
        <v>27</v>
      </c>
      <c r="H153" s="7">
        <f>IF(G153&gt;=60, "Boomer", IF(G153&gt;=45, "Gen X", IF(G153&gt;=25, "Millennial", "Gen Z")))</f>
        <v/>
      </c>
      <c r="I153" s="7" t="inlineStr">
        <is>
          <t>Checking</t>
        </is>
      </c>
      <c r="J153" s="7" t="inlineStr">
        <is>
          <t>Travel</t>
        </is>
      </c>
      <c r="K153" s="9" t="n">
        <v>1817.01</v>
      </c>
      <c r="L153" s="9" t="n">
        <v>21741.06</v>
      </c>
      <c r="M153" s="7" t="inlineStr">
        <is>
          <t>Mobile App</t>
        </is>
      </c>
      <c r="N153" s="7" t="inlineStr">
        <is>
          <t>N</t>
        </is>
      </c>
      <c r="O153" s="7">
        <f>TEXT(D153, "dddd")</f>
        <v/>
      </c>
      <c r="P153" s="7">
        <f>"Q"&amp;ROUNDUP(MONTH(D153)/3, 0)</f>
        <v/>
      </c>
    </row>
    <row r="154">
      <c r="A154" s="4" t="inlineStr">
        <is>
          <t>TXN100157</t>
        </is>
      </c>
      <c r="B154" s="4" t="inlineStr">
        <is>
          <t>CUST0157</t>
        </is>
      </c>
      <c r="C154" s="4" t="inlineStr">
        <is>
          <t>2026-06-01 19:59:00</t>
        </is>
      </c>
      <c r="D154" s="4">
        <f>TEXT(LEFT(C154,10),"YYYY-MM-DD")</f>
        <v/>
      </c>
      <c r="E154" s="5">
        <f>HOUR(C154)</f>
        <v/>
      </c>
      <c r="F154" s="4" t="inlineStr">
        <is>
          <t>Female</t>
        </is>
      </c>
      <c r="G154" s="5" t="n">
        <v>21</v>
      </c>
      <c r="H154" s="4">
        <f>IF(G154&gt;=60, "Boomer", IF(G154&gt;=45, "Gen X", IF(G154&gt;=25, "Millennial", "Gen Z")))</f>
        <v/>
      </c>
      <c r="I154" s="4" t="inlineStr">
        <is>
          <t>Savings</t>
        </is>
      </c>
      <c r="J154" s="4" t="inlineStr">
        <is>
          <t>Entertainment</t>
        </is>
      </c>
      <c r="K154" s="6" t="n">
        <v>5624.56</v>
      </c>
      <c r="L154" s="6" t="n">
        <v>15794.74</v>
      </c>
      <c r="M154" s="4" t="inlineStr">
        <is>
          <t>Branch Office</t>
        </is>
      </c>
      <c r="N154" s="4" t="inlineStr">
        <is>
          <t>N</t>
        </is>
      </c>
      <c r="O154" s="4">
        <f>TEXT(D154, "dddd")</f>
        <v/>
      </c>
      <c r="P154" s="4">
        <f>"Q"&amp;ROUNDUP(MONTH(D154)/3, 0)</f>
        <v/>
      </c>
    </row>
    <row r="155">
      <c r="A155" s="7" t="inlineStr">
        <is>
          <t>TXN100158</t>
        </is>
      </c>
      <c r="B155" s="7" t="inlineStr">
        <is>
          <t>CUST0158</t>
        </is>
      </c>
      <c r="C155" s="7" t="inlineStr">
        <is>
          <t>2026-06-01 11:00:00</t>
        </is>
      </c>
      <c r="D155" s="7">
        <f>TEXT(LEFT(C155,10),"YYYY-MM-DD")</f>
        <v/>
      </c>
      <c r="E155" s="8">
        <f>HOUR(C155)</f>
        <v/>
      </c>
      <c r="F155" s="7" t="inlineStr">
        <is>
          <t>Male</t>
        </is>
      </c>
      <c r="G155" s="8" t="n">
        <v>75</v>
      </c>
      <c r="H155" s="7">
        <f>IF(G155&gt;=60, "Boomer", IF(G155&gt;=45, "Gen X", IF(G155&gt;=25, "Millennial", "Gen Z")))</f>
        <v/>
      </c>
      <c r="I155" s="7" t="inlineStr">
        <is>
          <t>Savings</t>
        </is>
      </c>
      <c r="J155" s="7" t="inlineStr">
        <is>
          <t>Travel</t>
        </is>
      </c>
      <c r="K155" s="9" t="n">
        <v>5262.18</v>
      </c>
      <c r="L155" s="9" t="n">
        <v>3944.48</v>
      </c>
      <c r="M155" s="7" t="inlineStr">
        <is>
          <t>Mobile App</t>
        </is>
      </c>
      <c r="N155" s="7" t="inlineStr">
        <is>
          <t>N</t>
        </is>
      </c>
      <c r="O155" s="7">
        <f>TEXT(D155, "dddd")</f>
        <v/>
      </c>
      <c r="P155" s="7">
        <f>"Q"&amp;ROUNDUP(MONTH(D155)/3, 0)</f>
        <v/>
      </c>
    </row>
    <row r="156">
      <c r="A156" s="4" t="inlineStr">
        <is>
          <t>TXN100159</t>
        </is>
      </c>
      <c r="B156" s="4" t="inlineStr">
        <is>
          <t>CUST0159</t>
        </is>
      </c>
      <c r="C156" s="4" t="inlineStr">
        <is>
          <t>2026-06-01 02:47:00</t>
        </is>
      </c>
      <c r="D156" s="4">
        <f>TEXT(LEFT(C156,10),"YYYY-MM-DD")</f>
        <v/>
      </c>
      <c r="E156" s="5">
        <f>HOUR(C156)</f>
        <v/>
      </c>
      <c r="F156" s="4" t="inlineStr">
        <is>
          <t>Female</t>
        </is>
      </c>
      <c r="G156" s="5" t="n">
        <v>44</v>
      </c>
      <c r="H156" s="4">
        <f>IF(G156&gt;=60, "Boomer", IF(G156&gt;=45, "Gen X", IF(G156&gt;=25, "Millennial", "Gen Z")))</f>
        <v/>
      </c>
      <c r="I156" s="4" t="inlineStr">
        <is>
          <t>Checking</t>
        </is>
      </c>
      <c r="J156" s="4" t="inlineStr">
        <is>
          <t>Utilities</t>
        </is>
      </c>
      <c r="K156" s="6" t="n">
        <v>2733.76</v>
      </c>
      <c r="L156" s="6" t="n">
        <v>18817.63</v>
      </c>
      <c r="M156" s="4" t="inlineStr">
        <is>
          <t>Branch Office</t>
        </is>
      </c>
      <c r="N156" s="4" t="inlineStr">
        <is>
          <t>N</t>
        </is>
      </c>
      <c r="O156" s="4">
        <f>TEXT(D156, "dddd")</f>
        <v/>
      </c>
      <c r="P156" s="4">
        <f>"Q"&amp;ROUNDUP(MONTH(D156)/3, 0)</f>
        <v/>
      </c>
    </row>
    <row r="157">
      <c r="A157" s="7" t="inlineStr">
        <is>
          <t>TXN100160</t>
        </is>
      </c>
      <c r="B157" s="7" t="inlineStr">
        <is>
          <t>CUST0160</t>
        </is>
      </c>
      <c r="C157" s="7" t="inlineStr">
        <is>
          <t>2026-06-01 18:38:00</t>
        </is>
      </c>
      <c r="D157" s="7">
        <f>TEXT(LEFT(C157,10),"YYYY-MM-DD")</f>
        <v/>
      </c>
      <c r="E157" s="8">
        <f>HOUR(C157)</f>
        <v/>
      </c>
      <c r="F157" s="7" t="inlineStr">
        <is>
          <t>Male</t>
        </is>
      </c>
      <c r="G157" s="8" t="n">
        <v>23</v>
      </c>
      <c r="H157" s="7">
        <f>IF(G157&gt;=60, "Boomer", IF(G157&gt;=45, "Gen X", IF(G157&gt;=25, "Millennial", "Gen Z")))</f>
        <v/>
      </c>
      <c r="I157" s="7" t="inlineStr">
        <is>
          <t>Savings</t>
        </is>
      </c>
      <c r="J157" s="7" t="inlineStr">
        <is>
          <t>Groceries</t>
        </is>
      </c>
      <c r="K157" s="9" t="n">
        <v>6037.94</v>
      </c>
      <c r="L157" s="9" t="n">
        <v>2963.24</v>
      </c>
      <c r="M157" s="7" t="inlineStr">
        <is>
          <t>Mobile App</t>
        </is>
      </c>
      <c r="N157" s="7" t="inlineStr">
        <is>
          <t>N</t>
        </is>
      </c>
      <c r="O157" s="7">
        <f>TEXT(D157, "dddd")</f>
        <v/>
      </c>
      <c r="P157" s="7">
        <f>"Q"&amp;ROUNDUP(MONTH(D157)/3, 0)</f>
        <v/>
      </c>
    </row>
    <row r="158">
      <c r="A158" s="4" t="inlineStr">
        <is>
          <t>TXN100161</t>
        </is>
      </c>
      <c r="B158" s="4" t="inlineStr">
        <is>
          <t>CUST0161</t>
        </is>
      </c>
      <c r="C158" s="4" t="inlineStr">
        <is>
          <t>2026-06-01 08:28:00</t>
        </is>
      </c>
      <c r="D158" s="4">
        <f>TEXT(LEFT(C158,10),"YYYY-MM-DD")</f>
        <v/>
      </c>
      <c r="E158" s="5">
        <f>HOUR(C158)</f>
        <v/>
      </c>
      <c r="F158" s="4" t="inlineStr">
        <is>
          <t>Unspecified</t>
        </is>
      </c>
      <c r="G158" s="5" t="n">
        <v>51</v>
      </c>
      <c r="H158" s="4">
        <f>IF(G158&gt;=60, "Boomer", IF(G158&gt;=45, "Gen X", IF(G158&gt;=25, "Millennial", "Gen Z")))</f>
        <v/>
      </c>
      <c r="I158" s="4" t="inlineStr">
        <is>
          <t>Investment</t>
        </is>
      </c>
      <c r="J158" s="4" t="inlineStr">
        <is>
          <t>Utilities</t>
        </is>
      </c>
      <c r="K158" s="6" t="n">
        <v>3319.33</v>
      </c>
      <c r="L158" s="6" t="n">
        <v>11170.66</v>
      </c>
      <c r="M158" s="4" t="inlineStr">
        <is>
          <t>Mobile App</t>
        </is>
      </c>
      <c r="N158" s="4" t="inlineStr">
        <is>
          <t>N</t>
        </is>
      </c>
      <c r="O158" s="4">
        <f>TEXT(D158, "dddd")</f>
        <v/>
      </c>
      <c r="P158" s="4">
        <f>"Q"&amp;ROUNDUP(MONTH(D158)/3, 0)</f>
        <v/>
      </c>
    </row>
    <row r="159">
      <c r="A159" s="7" t="inlineStr">
        <is>
          <t>TXN100162</t>
        </is>
      </c>
      <c r="B159" s="7" t="inlineStr">
        <is>
          <t>CUST0162</t>
        </is>
      </c>
      <c r="C159" s="7" t="inlineStr">
        <is>
          <t>2026-06-01 11:27:00</t>
        </is>
      </c>
      <c r="D159" s="7">
        <f>TEXT(LEFT(C159,10),"YYYY-MM-DD")</f>
        <v/>
      </c>
      <c r="E159" s="8">
        <f>HOUR(C159)</f>
        <v/>
      </c>
      <c r="F159" s="7" t="inlineStr">
        <is>
          <t>Male</t>
        </is>
      </c>
      <c r="G159" s="8" t="n">
        <v>38</v>
      </c>
      <c r="H159" s="7">
        <f>IF(G159&gt;=60, "Boomer", IF(G159&gt;=45, "Gen X", IF(G159&gt;=25, "Millennial", "Gen Z")))</f>
        <v/>
      </c>
      <c r="I159" s="7" t="inlineStr">
        <is>
          <t>Investment</t>
        </is>
      </c>
      <c r="J159" s="7" t="inlineStr">
        <is>
          <t>Travel</t>
        </is>
      </c>
      <c r="K159" s="9" t="n">
        <v>3898.2</v>
      </c>
      <c r="L159" s="9" t="n">
        <v>33523.06</v>
      </c>
      <c r="M159" s="7" t="inlineStr">
        <is>
          <t>Mobile App</t>
        </is>
      </c>
      <c r="N159" s="7" t="inlineStr">
        <is>
          <t>N</t>
        </is>
      </c>
      <c r="O159" s="7">
        <f>TEXT(D159, "dddd")</f>
        <v/>
      </c>
      <c r="P159" s="7">
        <f>"Q"&amp;ROUNDUP(MONTH(D159)/3, 0)</f>
        <v/>
      </c>
    </row>
    <row r="160">
      <c r="A160" s="4" t="inlineStr">
        <is>
          <t>TXN100163</t>
        </is>
      </c>
      <c r="B160" s="4" t="inlineStr">
        <is>
          <t>CUST0163</t>
        </is>
      </c>
      <c r="C160" s="4" t="inlineStr">
        <is>
          <t>2026-06-01 07:25:00</t>
        </is>
      </c>
      <c r="D160" s="4">
        <f>TEXT(LEFT(C160,10),"YYYY-MM-DD")</f>
        <v/>
      </c>
      <c r="E160" s="5">
        <f>HOUR(C160)</f>
        <v/>
      </c>
      <c r="F160" s="4" t="inlineStr">
        <is>
          <t>Male</t>
        </is>
      </c>
      <c r="G160" s="5" t="n">
        <v>20</v>
      </c>
      <c r="H160" s="4">
        <f>IF(G160&gt;=60, "Boomer", IF(G160&gt;=45, "Gen X", IF(G160&gt;=25, "Millennial", "Gen Z")))</f>
        <v/>
      </c>
      <c r="I160" s="4" t="inlineStr">
        <is>
          <t>Savings</t>
        </is>
      </c>
      <c r="J160" s="4" t="inlineStr">
        <is>
          <t>Entertainment</t>
        </is>
      </c>
      <c r="K160" s="6" t="n">
        <v>7563.14</v>
      </c>
      <c r="L160" s="6" t="n">
        <v>38483.8</v>
      </c>
      <c r="M160" s="4" t="inlineStr">
        <is>
          <t>Branch Office</t>
        </is>
      </c>
      <c r="N160" s="4" t="inlineStr">
        <is>
          <t>N</t>
        </is>
      </c>
      <c r="O160" s="4">
        <f>TEXT(D160, "dddd")</f>
        <v/>
      </c>
      <c r="P160" s="4">
        <f>"Q"&amp;ROUNDUP(MONTH(D160)/3, 0)</f>
        <v/>
      </c>
    </row>
    <row r="161">
      <c r="A161" s="7" t="inlineStr">
        <is>
          <t>TXN100164</t>
        </is>
      </c>
      <c r="B161" s="7" t="inlineStr">
        <is>
          <t>CUST0164</t>
        </is>
      </c>
      <c r="C161" s="7" t="inlineStr">
        <is>
          <t>2026-06-01 03:00:00</t>
        </is>
      </c>
      <c r="D161" s="7">
        <f>TEXT(LEFT(C161,10),"YYYY-MM-DD")</f>
        <v/>
      </c>
      <c r="E161" s="8">
        <f>HOUR(C161)</f>
        <v/>
      </c>
      <c r="F161" s="7" t="inlineStr">
        <is>
          <t>Unspecified</t>
        </is>
      </c>
      <c r="G161" s="8" t="n">
        <v>67</v>
      </c>
      <c r="H161" s="7">
        <f>IF(G161&gt;=60, "Boomer", IF(G161&gt;=45, "Gen X", IF(G161&gt;=25, "Millennial", "Gen Z")))</f>
        <v/>
      </c>
      <c r="I161" s="7" t="inlineStr">
        <is>
          <t>Checking</t>
        </is>
      </c>
      <c r="J161" s="7" t="inlineStr">
        <is>
          <t>Groceries</t>
        </is>
      </c>
      <c r="K161" s="9" t="n">
        <v>1042.19</v>
      </c>
      <c r="L161" s="9" t="n">
        <v>26862.83</v>
      </c>
      <c r="M161" s="7" t="inlineStr">
        <is>
          <t>Online Banking</t>
        </is>
      </c>
      <c r="N161" s="7" t="inlineStr">
        <is>
          <t>N</t>
        </is>
      </c>
      <c r="O161" s="7">
        <f>TEXT(D161, "dddd")</f>
        <v/>
      </c>
      <c r="P161" s="7">
        <f>"Q"&amp;ROUNDUP(MONTH(D161)/3, 0)</f>
        <v/>
      </c>
    </row>
    <row r="162">
      <c r="A162" s="4" t="inlineStr">
        <is>
          <t>TXN100165</t>
        </is>
      </c>
      <c r="B162" s="4" t="inlineStr">
        <is>
          <t>CUST0165</t>
        </is>
      </c>
      <c r="C162" s="4" t="inlineStr">
        <is>
          <t>2026-06-01 16:35:00</t>
        </is>
      </c>
      <c r="D162" s="4">
        <f>TEXT(LEFT(C162,10),"YYYY-MM-DD")</f>
        <v/>
      </c>
      <c r="E162" s="5">
        <f>HOUR(C162)</f>
        <v/>
      </c>
      <c r="F162" s="4" t="inlineStr">
        <is>
          <t>Female</t>
        </is>
      </c>
      <c r="G162" s="5" t="n">
        <v>24</v>
      </c>
      <c r="H162" s="4">
        <f>IF(G162&gt;=60, "Boomer", IF(G162&gt;=45, "Gen X", IF(G162&gt;=25, "Millennial", "Gen Z")))</f>
        <v/>
      </c>
      <c r="I162" s="4" t="inlineStr">
        <is>
          <t>Checking</t>
        </is>
      </c>
      <c r="J162" s="4" t="inlineStr">
        <is>
          <t>Groceries</t>
        </is>
      </c>
      <c r="K162" s="6" t="n">
        <v>3495.39</v>
      </c>
      <c r="L162" s="6" t="n">
        <v>23257.84</v>
      </c>
      <c r="M162" s="4" t="inlineStr">
        <is>
          <t>Mobile App</t>
        </is>
      </c>
      <c r="N162" s="4" t="inlineStr">
        <is>
          <t>N</t>
        </is>
      </c>
      <c r="O162" s="4">
        <f>TEXT(D162, "dddd")</f>
        <v/>
      </c>
      <c r="P162" s="4">
        <f>"Q"&amp;ROUNDUP(MONTH(D162)/3, 0)</f>
        <v/>
      </c>
    </row>
    <row r="163">
      <c r="A163" s="7" t="inlineStr">
        <is>
          <t>TXN100166</t>
        </is>
      </c>
      <c r="B163" s="7" t="inlineStr">
        <is>
          <t>CUST0166</t>
        </is>
      </c>
      <c r="C163" s="7" t="inlineStr">
        <is>
          <t>2026-06-01 10:36:00</t>
        </is>
      </c>
      <c r="D163" s="7">
        <f>TEXT(LEFT(C163,10),"YYYY-MM-DD")</f>
        <v/>
      </c>
      <c r="E163" s="8">
        <f>HOUR(C163)</f>
        <v/>
      </c>
      <c r="F163" s="7" t="inlineStr">
        <is>
          <t>Unspecified</t>
        </is>
      </c>
      <c r="G163" s="8" t="n">
        <v>56</v>
      </c>
      <c r="H163" s="7">
        <f>IF(G163&gt;=60, "Boomer", IF(G163&gt;=45, "Gen X", IF(G163&gt;=25, "Millennial", "Gen Z")))</f>
        <v/>
      </c>
      <c r="I163" s="7" t="inlineStr">
        <is>
          <t>Checking</t>
        </is>
      </c>
      <c r="J163" s="7" t="inlineStr">
        <is>
          <t>Utilities</t>
        </is>
      </c>
      <c r="K163" s="9" t="n">
        <v>2323.23</v>
      </c>
      <c r="L163" s="9" t="n">
        <v>20549.1</v>
      </c>
      <c r="M163" s="7" t="inlineStr">
        <is>
          <t>Branch Office</t>
        </is>
      </c>
      <c r="N163" s="7" t="inlineStr">
        <is>
          <t>N</t>
        </is>
      </c>
      <c r="O163" s="7">
        <f>TEXT(D163, "dddd")</f>
        <v/>
      </c>
      <c r="P163" s="7">
        <f>"Q"&amp;ROUNDUP(MONTH(D163)/3, 0)</f>
        <v/>
      </c>
    </row>
    <row r="164">
      <c r="A164" s="4" t="inlineStr">
        <is>
          <t>TXN100167</t>
        </is>
      </c>
      <c r="B164" s="4" t="inlineStr">
        <is>
          <t>CUST0167</t>
        </is>
      </c>
      <c r="C164" s="4" t="inlineStr">
        <is>
          <t>2026-06-01 05:51:00</t>
        </is>
      </c>
      <c r="D164" s="4">
        <f>TEXT(LEFT(C164,10),"YYYY-MM-DD")</f>
        <v/>
      </c>
      <c r="E164" s="5">
        <f>HOUR(C164)</f>
        <v/>
      </c>
      <c r="F164" s="4" t="inlineStr">
        <is>
          <t>Unspecified</t>
        </is>
      </c>
      <c r="G164" s="5" t="n">
        <v>73</v>
      </c>
      <c r="H164" s="4">
        <f>IF(G164&gt;=60, "Boomer", IF(G164&gt;=45, "Gen X", IF(G164&gt;=25, "Millennial", "Gen Z")))</f>
        <v/>
      </c>
      <c r="I164" s="4" t="inlineStr">
        <is>
          <t>Investment</t>
        </is>
      </c>
      <c r="J164" s="4" t="inlineStr">
        <is>
          <t>Entertainment</t>
        </is>
      </c>
      <c r="K164" s="6" t="n">
        <v>714.16</v>
      </c>
      <c r="L164" s="6" t="n">
        <v>42301.98</v>
      </c>
      <c r="M164" s="4" t="inlineStr">
        <is>
          <t>Online Banking</t>
        </is>
      </c>
      <c r="N164" s="4" t="inlineStr">
        <is>
          <t>N</t>
        </is>
      </c>
      <c r="O164" s="4">
        <f>TEXT(D164, "dddd")</f>
        <v/>
      </c>
      <c r="P164" s="4">
        <f>"Q"&amp;ROUNDUP(MONTH(D164)/3, 0)</f>
        <v/>
      </c>
    </row>
    <row r="165">
      <c r="A165" s="7" t="inlineStr">
        <is>
          <t>TXN100168</t>
        </is>
      </c>
      <c r="B165" s="7" t="inlineStr">
        <is>
          <t>CUST0168</t>
        </is>
      </c>
      <c r="C165" s="7" t="inlineStr">
        <is>
          <t>2026-06-01 13:37:00</t>
        </is>
      </c>
      <c r="D165" s="7">
        <f>TEXT(LEFT(C165,10),"YYYY-MM-DD")</f>
        <v/>
      </c>
      <c r="E165" s="8">
        <f>HOUR(C165)</f>
        <v/>
      </c>
      <c r="F165" s="7" t="inlineStr">
        <is>
          <t>Unspecified</t>
        </is>
      </c>
      <c r="G165" s="8" t="n">
        <v>53</v>
      </c>
      <c r="H165" s="7">
        <f>IF(G165&gt;=60, "Boomer", IF(G165&gt;=45, "Gen X", IF(G165&gt;=25, "Millennial", "Gen Z")))</f>
        <v/>
      </c>
      <c r="I165" s="7" t="inlineStr">
        <is>
          <t>Savings</t>
        </is>
      </c>
      <c r="J165" s="7" t="inlineStr">
        <is>
          <t>Utilities</t>
        </is>
      </c>
      <c r="K165" s="9" t="n">
        <v>6965.49</v>
      </c>
      <c r="L165" s="9" t="n">
        <v>37417.34</v>
      </c>
      <c r="M165" s="7" t="inlineStr">
        <is>
          <t>Online Banking</t>
        </is>
      </c>
      <c r="N165" s="7" t="inlineStr">
        <is>
          <t>N</t>
        </is>
      </c>
      <c r="O165" s="7">
        <f>TEXT(D165, "dddd")</f>
        <v/>
      </c>
      <c r="P165" s="7">
        <f>"Q"&amp;ROUNDUP(MONTH(D165)/3, 0)</f>
        <v/>
      </c>
    </row>
    <row r="166">
      <c r="A166" s="4" t="inlineStr">
        <is>
          <t>TXN100169</t>
        </is>
      </c>
      <c r="B166" s="4" t="inlineStr">
        <is>
          <t>CUST0169</t>
        </is>
      </c>
      <c r="C166" s="4" t="inlineStr">
        <is>
          <t>2026-06-01 10:49:00</t>
        </is>
      </c>
      <c r="D166" s="4">
        <f>TEXT(LEFT(C166,10),"YYYY-MM-DD")</f>
        <v/>
      </c>
      <c r="E166" s="5">
        <f>HOUR(C166)</f>
        <v/>
      </c>
      <c r="F166" s="4" t="inlineStr">
        <is>
          <t>Male</t>
        </is>
      </c>
      <c r="G166" s="5" t="n">
        <v>24</v>
      </c>
      <c r="H166" s="4">
        <f>IF(G166&gt;=60, "Boomer", IF(G166&gt;=45, "Gen X", IF(G166&gt;=25, "Millennial", "Gen Z")))</f>
        <v/>
      </c>
      <c r="I166" s="4" t="inlineStr">
        <is>
          <t>Investment</t>
        </is>
      </c>
      <c r="J166" s="4" t="inlineStr">
        <is>
          <t>Groceries</t>
        </is>
      </c>
      <c r="K166" s="6" t="n">
        <v>4249.53</v>
      </c>
      <c r="L166" s="6" t="n">
        <v>10098.23</v>
      </c>
      <c r="M166" s="4" t="inlineStr">
        <is>
          <t>Branch Office</t>
        </is>
      </c>
      <c r="N166" s="4" t="inlineStr">
        <is>
          <t>N</t>
        </is>
      </c>
      <c r="O166" s="4">
        <f>TEXT(D166, "dddd")</f>
        <v/>
      </c>
      <c r="P166" s="4">
        <f>"Q"&amp;ROUNDUP(MONTH(D166)/3, 0)</f>
        <v/>
      </c>
    </row>
    <row r="167">
      <c r="A167" s="7" t="inlineStr">
        <is>
          <t>TXN100170</t>
        </is>
      </c>
      <c r="B167" s="7" t="inlineStr">
        <is>
          <t>CUST0170</t>
        </is>
      </c>
      <c r="C167" s="7" t="inlineStr">
        <is>
          <t>2026-06-01 11:46:00</t>
        </is>
      </c>
      <c r="D167" s="7">
        <f>TEXT(LEFT(C167,10),"YYYY-MM-DD")</f>
        <v/>
      </c>
      <c r="E167" s="8">
        <f>HOUR(C167)</f>
        <v/>
      </c>
      <c r="F167" s="7" t="inlineStr">
        <is>
          <t>Male</t>
        </is>
      </c>
      <c r="G167" s="8" t="n">
        <v>35</v>
      </c>
      <c r="H167" s="7">
        <f>IF(G167&gt;=60, "Boomer", IF(G167&gt;=45, "Gen X", IF(G167&gt;=25, "Millennial", "Gen Z")))</f>
        <v/>
      </c>
      <c r="I167" s="7" t="inlineStr">
        <is>
          <t>Savings</t>
        </is>
      </c>
      <c r="J167" s="7" t="inlineStr">
        <is>
          <t>Groceries</t>
        </is>
      </c>
      <c r="K167" s="9" t="n">
        <v>2055.19</v>
      </c>
      <c r="L167" s="9" t="n">
        <v>9088.200000000001</v>
      </c>
      <c r="M167" s="7" t="inlineStr">
        <is>
          <t>Online Banking</t>
        </is>
      </c>
      <c r="N167" s="7" t="inlineStr">
        <is>
          <t>N</t>
        </is>
      </c>
      <c r="O167" s="7">
        <f>TEXT(D167, "dddd")</f>
        <v/>
      </c>
      <c r="P167" s="7">
        <f>"Q"&amp;ROUNDUP(MONTH(D167)/3, 0)</f>
        <v/>
      </c>
    </row>
    <row r="168">
      <c r="A168" s="4" t="inlineStr">
        <is>
          <t>TXN100171</t>
        </is>
      </c>
      <c r="B168" s="4" t="inlineStr">
        <is>
          <t>CUST0171</t>
        </is>
      </c>
      <c r="C168" s="4" t="inlineStr">
        <is>
          <t>2026-06-01 20:04:00</t>
        </is>
      </c>
      <c r="D168" s="4">
        <f>TEXT(LEFT(C168,10),"YYYY-MM-DD")</f>
        <v/>
      </c>
      <c r="E168" s="5">
        <f>HOUR(C168)</f>
        <v/>
      </c>
      <c r="F168" s="4" t="inlineStr">
        <is>
          <t>Male</t>
        </is>
      </c>
      <c r="G168" s="5" t="n">
        <v>69</v>
      </c>
      <c r="H168" s="4">
        <f>IF(G168&gt;=60, "Boomer", IF(G168&gt;=45, "Gen X", IF(G168&gt;=25, "Millennial", "Gen Z")))</f>
        <v/>
      </c>
      <c r="I168" s="4" t="inlineStr">
        <is>
          <t>Investment</t>
        </is>
      </c>
      <c r="J168" s="4" t="inlineStr">
        <is>
          <t>Utilities</t>
        </is>
      </c>
      <c r="K168" s="6" t="n">
        <v>3716.99</v>
      </c>
      <c r="L168" s="6" t="n">
        <v>28404.91</v>
      </c>
      <c r="M168" s="4" t="inlineStr">
        <is>
          <t>ATM</t>
        </is>
      </c>
      <c r="N168" s="4" t="inlineStr">
        <is>
          <t>N</t>
        </is>
      </c>
      <c r="O168" s="4">
        <f>TEXT(D168, "dddd")</f>
        <v/>
      </c>
      <c r="P168" s="4">
        <f>"Q"&amp;ROUNDUP(MONTH(D168)/3, 0)</f>
        <v/>
      </c>
    </row>
    <row r="169">
      <c r="A169" s="7" t="inlineStr">
        <is>
          <t>TXN100172</t>
        </is>
      </c>
      <c r="B169" s="7" t="inlineStr">
        <is>
          <t>CUST0172</t>
        </is>
      </c>
      <c r="C169" s="7" t="inlineStr">
        <is>
          <t>2026-06-01 21:59:00</t>
        </is>
      </c>
      <c r="D169" s="7">
        <f>TEXT(LEFT(C169,10),"YYYY-MM-DD")</f>
        <v/>
      </c>
      <c r="E169" s="8">
        <f>HOUR(C169)</f>
        <v/>
      </c>
      <c r="F169" s="7" t="inlineStr">
        <is>
          <t>Female</t>
        </is>
      </c>
      <c r="G169" s="8" t="n">
        <v>75</v>
      </c>
      <c r="H169" s="7">
        <f>IF(G169&gt;=60, "Boomer", IF(G169&gt;=45, "Gen X", IF(G169&gt;=25, "Millennial", "Gen Z")))</f>
        <v/>
      </c>
      <c r="I169" s="7" t="inlineStr">
        <is>
          <t>Investment</t>
        </is>
      </c>
      <c r="J169" s="7" t="inlineStr">
        <is>
          <t>Entertainment</t>
        </is>
      </c>
      <c r="K169" s="9" t="n">
        <v>1216.15</v>
      </c>
      <c r="L169" s="9" t="n">
        <v>3880.17</v>
      </c>
      <c r="M169" s="7" t="inlineStr">
        <is>
          <t>ATM</t>
        </is>
      </c>
      <c r="N169" s="7" t="inlineStr">
        <is>
          <t>N</t>
        </is>
      </c>
      <c r="O169" s="7">
        <f>TEXT(D169, "dddd")</f>
        <v/>
      </c>
      <c r="P169" s="7">
        <f>"Q"&amp;ROUNDUP(MONTH(D169)/3, 0)</f>
        <v/>
      </c>
    </row>
    <row r="170">
      <c r="A170" s="4" t="inlineStr">
        <is>
          <t>TXN100173</t>
        </is>
      </c>
      <c r="B170" s="4" t="inlineStr">
        <is>
          <t>CUST0173</t>
        </is>
      </c>
      <c r="C170" s="4" t="inlineStr">
        <is>
          <t>2026-06-01 20:19:00</t>
        </is>
      </c>
      <c r="D170" s="4">
        <f>TEXT(LEFT(C170,10),"YYYY-MM-DD")</f>
        <v/>
      </c>
      <c r="E170" s="5">
        <f>HOUR(C170)</f>
        <v/>
      </c>
      <c r="F170" s="4" t="inlineStr">
        <is>
          <t>Female</t>
        </is>
      </c>
      <c r="G170" s="5" t="n">
        <v>57</v>
      </c>
      <c r="H170" s="4">
        <f>IF(G170&gt;=60, "Boomer", IF(G170&gt;=45, "Gen X", IF(G170&gt;=25, "Millennial", "Gen Z")))</f>
        <v/>
      </c>
      <c r="I170" s="4" t="inlineStr">
        <is>
          <t>Savings</t>
        </is>
      </c>
      <c r="J170" s="4" t="inlineStr">
        <is>
          <t>Entertainment</t>
        </is>
      </c>
      <c r="K170" s="6" t="n">
        <v>4063.62</v>
      </c>
      <c r="L170" s="6" t="n">
        <v>15865.19</v>
      </c>
      <c r="M170" s="4" t="inlineStr">
        <is>
          <t>ATM</t>
        </is>
      </c>
      <c r="N170" s="4" t="inlineStr">
        <is>
          <t>N</t>
        </is>
      </c>
      <c r="O170" s="4">
        <f>TEXT(D170, "dddd")</f>
        <v/>
      </c>
      <c r="P170" s="4">
        <f>"Q"&amp;ROUNDUP(MONTH(D170)/3, 0)</f>
        <v/>
      </c>
    </row>
    <row r="171">
      <c r="A171" s="7" t="inlineStr">
        <is>
          <t>TXN100174</t>
        </is>
      </c>
      <c r="B171" s="7" t="inlineStr">
        <is>
          <t>CUST0174</t>
        </is>
      </c>
      <c r="C171" s="7" t="inlineStr">
        <is>
          <t>2026-06-01 01:03:00</t>
        </is>
      </c>
      <c r="D171" s="7">
        <f>TEXT(LEFT(C171,10),"YYYY-MM-DD")</f>
        <v/>
      </c>
      <c r="E171" s="8">
        <f>HOUR(C171)</f>
        <v/>
      </c>
      <c r="F171" s="7" t="inlineStr">
        <is>
          <t>Female</t>
        </is>
      </c>
      <c r="G171" s="8" t="n">
        <v>73</v>
      </c>
      <c r="H171" s="7">
        <f>IF(G171&gt;=60, "Boomer", IF(G171&gt;=45, "Gen X", IF(G171&gt;=25, "Millennial", "Gen Z")))</f>
        <v/>
      </c>
      <c r="I171" s="7" t="inlineStr">
        <is>
          <t>Checking</t>
        </is>
      </c>
      <c r="J171" s="7" t="inlineStr">
        <is>
          <t>Groceries</t>
        </is>
      </c>
      <c r="K171" s="9" t="n">
        <v>5160.89</v>
      </c>
      <c r="L171" s="9" t="n">
        <v>48879.74</v>
      </c>
      <c r="M171" s="7" t="inlineStr">
        <is>
          <t>Mobile App</t>
        </is>
      </c>
      <c r="N171" s="7" t="inlineStr">
        <is>
          <t>N</t>
        </is>
      </c>
      <c r="O171" s="7">
        <f>TEXT(D171, "dddd")</f>
        <v/>
      </c>
      <c r="P171" s="7">
        <f>"Q"&amp;ROUNDUP(MONTH(D171)/3, 0)</f>
        <v/>
      </c>
    </row>
    <row r="172">
      <c r="A172" s="4" t="inlineStr">
        <is>
          <t>TXN100175</t>
        </is>
      </c>
      <c r="B172" s="4" t="inlineStr">
        <is>
          <t>CUST0175</t>
        </is>
      </c>
      <c r="C172" s="4" t="inlineStr">
        <is>
          <t>2026-06-01 19:38:00</t>
        </is>
      </c>
      <c r="D172" s="4">
        <f>TEXT(LEFT(C172,10),"YYYY-MM-DD")</f>
        <v/>
      </c>
      <c r="E172" s="5">
        <f>HOUR(C172)</f>
        <v/>
      </c>
      <c r="F172" s="4" t="inlineStr">
        <is>
          <t>Unspecified</t>
        </is>
      </c>
      <c r="G172" s="5" t="n">
        <v>49</v>
      </c>
      <c r="H172" s="4">
        <f>IF(G172&gt;=60, "Boomer", IF(G172&gt;=45, "Gen X", IF(G172&gt;=25, "Millennial", "Gen Z")))</f>
        <v/>
      </c>
      <c r="I172" s="4" t="inlineStr">
        <is>
          <t>Investment</t>
        </is>
      </c>
      <c r="J172" s="4" t="inlineStr">
        <is>
          <t>Travel</t>
        </is>
      </c>
      <c r="K172" s="6" t="n">
        <v>7634.31</v>
      </c>
      <c r="L172" s="6" t="n">
        <v>37076.59</v>
      </c>
      <c r="M172" s="4" t="inlineStr">
        <is>
          <t>Mobile App</t>
        </is>
      </c>
      <c r="N172" s="4" t="inlineStr">
        <is>
          <t>N</t>
        </is>
      </c>
      <c r="O172" s="4">
        <f>TEXT(D172, "dddd")</f>
        <v/>
      </c>
      <c r="P172" s="4">
        <f>"Q"&amp;ROUNDUP(MONTH(D172)/3, 0)</f>
        <v/>
      </c>
    </row>
    <row r="173">
      <c r="A173" s="7" t="inlineStr">
        <is>
          <t>TXN100176</t>
        </is>
      </c>
      <c r="B173" s="7" t="inlineStr">
        <is>
          <t>CUST0176</t>
        </is>
      </c>
      <c r="C173" s="7" t="inlineStr">
        <is>
          <t>2026-06-01 18:41:00</t>
        </is>
      </c>
      <c r="D173" s="7">
        <f>TEXT(LEFT(C173,10),"YYYY-MM-DD")</f>
        <v/>
      </c>
      <c r="E173" s="8">
        <f>HOUR(C173)</f>
        <v/>
      </c>
      <c r="F173" s="7" t="inlineStr">
        <is>
          <t>Female</t>
        </is>
      </c>
      <c r="G173" s="8" t="n">
        <v>40</v>
      </c>
      <c r="H173" s="7">
        <f>IF(G173&gt;=60, "Boomer", IF(G173&gt;=45, "Gen X", IF(G173&gt;=25, "Millennial", "Gen Z")))</f>
        <v/>
      </c>
      <c r="I173" s="7" t="inlineStr">
        <is>
          <t>Investment</t>
        </is>
      </c>
      <c r="J173" s="7" t="inlineStr">
        <is>
          <t>Utilities</t>
        </is>
      </c>
      <c r="K173" s="9" t="n">
        <v>4015.92</v>
      </c>
      <c r="L173" s="9" t="n">
        <v>47907.26</v>
      </c>
      <c r="M173" s="7" t="inlineStr">
        <is>
          <t>ATM</t>
        </is>
      </c>
      <c r="N173" s="7" t="inlineStr">
        <is>
          <t>N</t>
        </is>
      </c>
      <c r="O173" s="7">
        <f>TEXT(D173, "dddd")</f>
        <v/>
      </c>
      <c r="P173" s="7">
        <f>"Q"&amp;ROUNDUP(MONTH(D173)/3, 0)</f>
        <v/>
      </c>
    </row>
    <row r="174">
      <c r="A174" s="4" t="inlineStr">
        <is>
          <t>TXN100177</t>
        </is>
      </c>
      <c r="B174" s="4" t="inlineStr">
        <is>
          <t>CUST0177</t>
        </is>
      </c>
      <c r="C174" s="4" t="inlineStr">
        <is>
          <t>2026-06-01 03:51:00</t>
        </is>
      </c>
      <c r="D174" s="4">
        <f>TEXT(LEFT(C174,10),"YYYY-MM-DD")</f>
        <v/>
      </c>
      <c r="E174" s="5">
        <f>HOUR(C174)</f>
        <v/>
      </c>
      <c r="F174" s="4" t="inlineStr">
        <is>
          <t>Female</t>
        </is>
      </c>
      <c r="G174" s="5" t="n">
        <v>65</v>
      </c>
      <c r="H174" s="4">
        <f>IF(G174&gt;=60, "Boomer", IF(G174&gt;=45, "Gen X", IF(G174&gt;=25, "Millennial", "Gen Z")))</f>
        <v/>
      </c>
      <c r="I174" s="4" t="inlineStr">
        <is>
          <t>Savings</t>
        </is>
      </c>
      <c r="J174" s="4" t="inlineStr">
        <is>
          <t>Travel</t>
        </is>
      </c>
      <c r="K174" s="6" t="n">
        <v>5172.56</v>
      </c>
      <c r="L174" s="6" t="n">
        <v>2437.54</v>
      </c>
      <c r="M174" s="4" t="inlineStr">
        <is>
          <t>ATM</t>
        </is>
      </c>
      <c r="N174" s="4" t="inlineStr">
        <is>
          <t>N</t>
        </is>
      </c>
      <c r="O174" s="4">
        <f>TEXT(D174, "dddd")</f>
        <v/>
      </c>
      <c r="P174" s="4">
        <f>"Q"&amp;ROUNDUP(MONTH(D174)/3, 0)</f>
        <v/>
      </c>
    </row>
    <row r="175">
      <c r="A175" s="7" t="inlineStr">
        <is>
          <t>TXN100178</t>
        </is>
      </c>
      <c r="B175" s="7" t="inlineStr">
        <is>
          <t>CUST0178</t>
        </is>
      </c>
      <c r="C175" s="7" t="inlineStr">
        <is>
          <t>2026-06-01 14:33:00</t>
        </is>
      </c>
      <c r="D175" s="7">
        <f>TEXT(LEFT(C175,10),"YYYY-MM-DD")</f>
        <v/>
      </c>
      <c r="E175" s="8">
        <f>HOUR(C175)</f>
        <v/>
      </c>
      <c r="F175" s="7" t="inlineStr">
        <is>
          <t>Male</t>
        </is>
      </c>
      <c r="G175" s="8" t="n">
        <v>43</v>
      </c>
      <c r="H175" s="7">
        <f>IF(G175&gt;=60, "Boomer", IF(G175&gt;=45, "Gen X", IF(G175&gt;=25, "Millennial", "Gen Z")))</f>
        <v/>
      </c>
      <c r="I175" s="7" t="inlineStr">
        <is>
          <t>Checking</t>
        </is>
      </c>
      <c r="J175" s="7" t="inlineStr">
        <is>
          <t>Entertainment</t>
        </is>
      </c>
      <c r="K175" s="9" t="n">
        <v>3105.46</v>
      </c>
      <c r="L175" s="9" t="n">
        <v>38836.01</v>
      </c>
      <c r="M175" s="7" t="inlineStr">
        <is>
          <t>Mobile App</t>
        </is>
      </c>
      <c r="N175" s="7" t="inlineStr">
        <is>
          <t>N</t>
        </is>
      </c>
      <c r="O175" s="7">
        <f>TEXT(D175, "dddd")</f>
        <v/>
      </c>
      <c r="P175" s="7">
        <f>"Q"&amp;ROUNDUP(MONTH(D175)/3, 0)</f>
        <v/>
      </c>
    </row>
    <row r="176">
      <c r="A176" s="4" t="inlineStr">
        <is>
          <t>TXN100179</t>
        </is>
      </c>
      <c r="B176" s="4" t="inlineStr">
        <is>
          <t>CUST0179</t>
        </is>
      </c>
      <c r="C176" s="4" t="inlineStr">
        <is>
          <t>2026-06-01 20:41:00</t>
        </is>
      </c>
      <c r="D176" s="4">
        <f>TEXT(LEFT(C176,10),"YYYY-MM-DD")</f>
        <v/>
      </c>
      <c r="E176" s="5">
        <f>HOUR(C176)</f>
        <v/>
      </c>
      <c r="F176" s="4" t="inlineStr">
        <is>
          <t>Female</t>
        </is>
      </c>
      <c r="G176" s="5" t="n">
        <v>24</v>
      </c>
      <c r="H176" s="4">
        <f>IF(G176&gt;=60, "Boomer", IF(G176&gt;=45, "Gen X", IF(G176&gt;=25, "Millennial", "Gen Z")))</f>
        <v/>
      </c>
      <c r="I176" s="4" t="inlineStr">
        <is>
          <t>Checking</t>
        </is>
      </c>
      <c r="J176" s="4" t="inlineStr">
        <is>
          <t>Groceries</t>
        </is>
      </c>
      <c r="K176" s="6" t="n">
        <v>4468.13</v>
      </c>
      <c r="L176" s="6" t="n">
        <v>19634.93</v>
      </c>
      <c r="M176" s="4" t="inlineStr">
        <is>
          <t>Branch Office</t>
        </is>
      </c>
      <c r="N176" s="4" t="inlineStr">
        <is>
          <t>N</t>
        </is>
      </c>
      <c r="O176" s="4">
        <f>TEXT(D176, "dddd")</f>
        <v/>
      </c>
      <c r="P176" s="4">
        <f>"Q"&amp;ROUNDUP(MONTH(D176)/3, 0)</f>
        <v/>
      </c>
    </row>
    <row r="177">
      <c r="A177" s="7" t="inlineStr">
        <is>
          <t>TXN100180</t>
        </is>
      </c>
      <c r="B177" s="7" t="inlineStr">
        <is>
          <t>CUST0180</t>
        </is>
      </c>
      <c r="C177" s="7" t="inlineStr">
        <is>
          <t>2025-05-01 00:00:00</t>
        </is>
      </c>
      <c r="D177" s="7">
        <f>TEXT(LEFT(C177,10),"YYYY-MM-DD")</f>
        <v/>
      </c>
      <c r="E177" s="8">
        <f>HOUR(C177)</f>
        <v/>
      </c>
      <c r="F177" s="7" t="inlineStr">
        <is>
          <t>Male</t>
        </is>
      </c>
      <c r="G177" s="8" t="n">
        <v>41</v>
      </c>
      <c r="H177" s="7">
        <f>IF(G177&gt;=60, "Boomer", IF(G177&gt;=45, "Gen X", IF(G177&gt;=25, "Millennial", "Gen Z")))</f>
        <v/>
      </c>
      <c r="I177" s="7" t="inlineStr">
        <is>
          <t>Savings</t>
        </is>
      </c>
      <c r="J177" s="7" t="inlineStr">
        <is>
          <t>Travel</t>
        </is>
      </c>
      <c r="K177" s="9" t="n">
        <v>5312.26</v>
      </c>
      <c r="L177" s="9" t="n">
        <v>45878.95</v>
      </c>
      <c r="M177" s="7" t="inlineStr">
        <is>
          <t>Branch Office</t>
        </is>
      </c>
      <c r="N177" s="7" t="inlineStr">
        <is>
          <t>N</t>
        </is>
      </c>
      <c r="O177" s="7">
        <f>TEXT(D177, "dddd")</f>
        <v/>
      </c>
      <c r="P177" s="7">
        <f>"Q"&amp;ROUNDUP(MONTH(D177)/3, 0)</f>
        <v/>
      </c>
    </row>
    <row r="178">
      <c r="A178" s="4" t="inlineStr">
        <is>
          <t>TXN100181</t>
        </is>
      </c>
      <c r="B178" s="4" t="inlineStr">
        <is>
          <t>CUST0181</t>
        </is>
      </c>
      <c r="C178" s="4" t="inlineStr">
        <is>
          <t>2026-06-01 20:44:00</t>
        </is>
      </c>
      <c r="D178" s="4">
        <f>TEXT(LEFT(C178,10),"YYYY-MM-DD")</f>
        <v/>
      </c>
      <c r="E178" s="5">
        <f>HOUR(C178)</f>
        <v/>
      </c>
      <c r="F178" s="4" t="inlineStr">
        <is>
          <t>Unspecified</t>
        </is>
      </c>
      <c r="G178" s="5" t="n">
        <v>28</v>
      </c>
      <c r="H178" s="4">
        <f>IF(G178&gt;=60, "Boomer", IF(G178&gt;=45, "Gen X", IF(G178&gt;=25, "Millennial", "Gen Z")))</f>
        <v/>
      </c>
      <c r="I178" s="4" t="inlineStr">
        <is>
          <t>Investment</t>
        </is>
      </c>
      <c r="J178" s="4" t="inlineStr">
        <is>
          <t>Groceries</t>
        </is>
      </c>
      <c r="K178" s="6" t="n">
        <v>2483.56</v>
      </c>
      <c r="L178" s="6" t="n">
        <v>19145.63</v>
      </c>
      <c r="M178" s="4" t="inlineStr">
        <is>
          <t>Branch Office</t>
        </is>
      </c>
      <c r="N178" s="4" t="inlineStr">
        <is>
          <t>N</t>
        </is>
      </c>
      <c r="O178" s="4">
        <f>TEXT(D178, "dddd")</f>
        <v/>
      </c>
      <c r="P178" s="4">
        <f>"Q"&amp;ROUNDUP(MONTH(D178)/3, 0)</f>
        <v/>
      </c>
    </row>
    <row r="179">
      <c r="A179" s="7" t="inlineStr">
        <is>
          <t>TXN100182</t>
        </is>
      </c>
      <c r="B179" s="7" t="inlineStr">
        <is>
          <t>CUST0182</t>
        </is>
      </c>
      <c r="C179" s="7" t="inlineStr">
        <is>
          <t>2026-06-01 04:42:00</t>
        </is>
      </c>
      <c r="D179" s="7">
        <f>TEXT(LEFT(C179,10),"YYYY-MM-DD")</f>
        <v/>
      </c>
      <c r="E179" s="8">
        <f>HOUR(C179)</f>
        <v/>
      </c>
      <c r="F179" s="7" t="inlineStr">
        <is>
          <t>Male</t>
        </is>
      </c>
      <c r="G179" s="8" t="n">
        <v>61</v>
      </c>
      <c r="H179" s="7">
        <f>IF(G179&gt;=60, "Boomer", IF(G179&gt;=45, "Gen X", IF(G179&gt;=25, "Millennial", "Gen Z")))</f>
        <v/>
      </c>
      <c r="I179" s="7" t="inlineStr">
        <is>
          <t>Investment</t>
        </is>
      </c>
      <c r="J179" s="7" t="inlineStr">
        <is>
          <t>Utilities</t>
        </is>
      </c>
      <c r="K179" s="9" t="n">
        <v>4072.82</v>
      </c>
      <c r="L179" s="9" t="n">
        <v>1402.41</v>
      </c>
      <c r="M179" s="7" t="inlineStr">
        <is>
          <t>Branch Office</t>
        </is>
      </c>
      <c r="N179" s="7" t="inlineStr">
        <is>
          <t>N</t>
        </is>
      </c>
      <c r="O179" s="7">
        <f>TEXT(D179, "dddd")</f>
        <v/>
      </c>
      <c r="P179" s="7">
        <f>"Q"&amp;ROUNDUP(MONTH(D179)/3, 0)</f>
        <v/>
      </c>
    </row>
    <row r="180">
      <c r="A180" s="4" t="inlineStr">
        <is>
          <t>TXN100183</t>
        </is>
      </c>
      <c r="B180" s="4" t="inlineStr">
        <is>
          <t>CUST0183</t>
        </is>
      </c>
      <c r="C180" s="4" t="inlineStr">
        <is>
          <t>2026-06-01 05:13:00</t>
        </is>
      </c>
      <c r="D180" s="4">
        <f>TEXT(LEFT(C180,10),"YYYY-MM-DD")</f>
        <v/>
      </c>
      <c r="E180" s="5">
        <f>HOUR(C180)</f>
        <v/>
      </c>
      <c r="F180" s="4" t="inlineStr">
        <is>
          <t>Female</t>
        </is>
      </c>
      <c r="G180" s="5" t="n">
        <v>69</v>
      </c>
      <c r="H180" s="4">
        <f>IF(G180&gt;=60, "Boomer", IF(G180&gt;=45, "Gen X", IF(G180&gt;=25, "Millennial", "Gen Z")))</f>
        <v/>
      </c>
      <c r="I180" s="4" t="inlineStr">
        <is>
          <t>Checking</t>
        </is>
      </c>
      <c r="J180" s="4" t="inlineStr">
        <is>
          <t>Groceries</t>
        </is>
      </c>
      <c r="K180" s="6" t="n">
        <v>1820.08</v>
      </c>
      <c r="L180" s="6" t="n">
        <v>7309.48</v>
      </c>
      <c r="M180" s="4" t="inlineStr">
        <is>
          <t>Mobile App</t>
        </is>
      </c>
      <c r="N180" s="4" t="inlineStr">
        <is>
          <t>N</t>
        </is>
      </c>
      <c r="O180" s="4">
        <f>TEXT(D180, "dddd")</f>
        <v/>
      </c>
      <c r="P180" s="4">
        <f>"Q"&amp;ROUNDUP(MONTH(D180)/3, 0)</f>
        <v/>
      </c>
    </row>
    <row r="181">
      <c r="A181" s="7" t="inlineStr">
        <is>
          <t>TXN100184</t>
        </is>
      </c>
      <c r="B181" s="7" t="inlineStr">
        <is>
          <t>CUST0184</t>
        </is>
      </c>
      <c r="C181" s="7" t="inlineStr">
        <is>
          <t>2026-06-01 09:54:00</t>
        </is>
      </c>
      <c r="D181" s="7">
        <f>TEXT(LEFT(C181,10),"YYYY-MM-DD")</f>
        <v/>
      </c>
      <c r="E181" s="8">
        <f>HOUR(C181)</f>
        <v/>
      </c>
      <c r="F181" s="7" t="inlineStr">
        <is>
          <t>Male</t>
        </is>
      </c>
      <c r="G181" s="8" t="n">
        <v>52</v>
      </c>
      <c r="H181" s="7">
        <f>IF(G181&gt;=60, "Boomer", IF(G181&gt;=45, "Gen X", IF(G181&gt;=25, "Millennial", "Gen Z")))</f>
        <v/>
      </c>
      <c r="I181" s="7" t="inlineStr">
        <is>
          <t>Investment</t>
        </is>
      </c>
      <c r="J181" s="7" t="inlineStr">
        <is>
          <t>Travel</t>
        </is>
      </c>
      <c r="K181" s="9" t="n">
        <v>311.6</v>
      </c>
      <c r="L181" s="9" t="n">
        <v>17169.84</v>
      </c>
      <c r="M181" s="7" t="inlineStr">
        <is>
          <t>Online Banking</t>
        </is>
      </c>
      <c r="N181" s="7" t="inlineStr">
        <is>
          <t>N</t>
        </is>
      </c>
      <c r="O181" s="7">
        <f>TEXT(D181, "dddd")</f>
        <v/>
      </c>
      <c r="P181" s="7">
        <f>"Q"&amp;ROUNDUP(MONTH(D181)/3, 0)</f>
        <v/>
      </c>
    </row>
    <row r="182">
      <c r="A182" s="4" t="inlineStr">
        <is>
          <t>TXN100185</t>
        </is>
      </c>
      <c r="B182" s="4" t="inlineStr">
        <is>
          <t>CUST0185</t>
        </is>
      </c>
      <c r="C182" s="4" t="inlineStr">
        <is>
          <t>2026-06-01 19:24:00</t>
        </is>
      </c>
      <c r="D182" s="4">
        <f>TEXT(LEFT(C182,10),"YYYY-MM-DD")</f>
        <v/>
      </c>
      <c r="E182" s="5">
        <f>HOUR(C182)</f>
        <v/>
      </c>
      <c r="F182" s="4" t="inlineStr">
        <is>
          <t>Male</t>
        </is>
      </c>
      <c r="G182" s="5" t="n">
        <v>30</v>
      </c>
      <c r="H182" s="4">
        <f>IF(G182&gt;=60, "Boomer", IF(G182&gt;=45, "Gen X", IF(G182&gt;=25, "Millennial", "Gen Z")))</f>
        <v/>
      </c>
      <c r="I182" s="4" t="inlineStr">
        <is>
          <t>Savings</t>
        </is>
      </c>
      <c r="J182" s="4" t="inlineStr">
        <is>
          <t>Travel</t>
        </is>
      </c>
      <c r="K182" s="6" t="n">
        <v>6474.26</v>
      </c>
      <c r="L182" s="6" t="n">
        <v>8694.190000000001</v>
      </c>
      <c r="M182" s="4" t="inlineStr">
        <is>
          <t>ATM</t>
        </is>
      </c>
      <c r="N182" s="4" t="inlineStr">
        <is>
          <t>N</t>
        </is>
      </c>
      <c r="O182" s="4">
        <f>TEXT(D182, "dddd")</f>
        <v/>
      </c>
      <c r="P182" s="4">
        <f>"Q"&amp;ROUNDUP(MONTH(D182)/3, 0)</f>
        <v/>
      </c>
    </row>
    <row r="183">
      <c r="A183" s="7" t="inlineStr">
        <is>
          <t>TXN100186</t>
        </is>
      </c>
      <c r="B183" s="7" t="inlineStr">
        <is>
          <t>CUST0186</t>
        </is>
      </c>
      <c r="C183" s="7" t="inlineStr">
        <is>
          <t>2026-06-01 01:26:00</t>
        </is>
      </c>
      <c r="D183" s="7">
        <f>TEXT(LEFT(C183,10),"YYYY-MM-DD")</f>
        <v/>
      </c>
      <c r="E183" s="8">
        <f>HOUR(C183)</f>
        <v/>
      </c>
      <c r="F183" s="7" t="inlineStr">
        <is>
          <t>Female</t>
        </is>
      </c>
      <c r="G183" s="8" t="n">
        <v>63</v>
      </c>
      <c r="H183" s="7">
        <f>IF(G183&gt;=60, "Boomer", IF(G183&gt;=45, "Gen X", IF(G183&gt;=25, "Millennial", "Gen Z")))</f>
        <v/>
      </c>
      <c r="I183" s="7" t="inlineStr">
        <is>
          <t>Investment</t>
        </is>
      </c>
      <c r="J183" s="7" t="inlineStr">
        <is>
          <t>Groceries</t>
        </is>
      </c>
      <c r="K183" s="9" t="n">
        <v>7757.01</v>
      </c>
      <c r="L183" s="9" t="n">
        <v>30724.47</v>
      </c>
      <c r="M183" s="7" t="inlineStr">
        <is>
          <t>ATM</t>
        </is>
      </c>
      <c r="N183" s="7" t="inlineStr">
        <is>
          <t>N</t>
        </is>
      </c>
      <c r="O183" s="7">
        <f>TEXT(D183, "dddd")</f>
        <v/>
      </c>
      <c r="P183" s="7">
        <f>"Q"&amp;ROUNDUP(MONTH(D183)/3, 0)</f>
        <v/>
      </c>
    </row>
    <row r="184">
      <c r="A184" s="4" t="inlineStr">
        <is>
          <t>TXN100187</t>
        </is>
      </c>
      <c r="B184" s="4" t="inlineStr">
        <is>
          <t>CUST0187</t>
        </is>
      </c>
      <c r="C184" s="4" t="inlineStr">
        <is>
          <t>2026-06-01 07:19:00</t>
        </is>
      </c>
      <c r="D184" s="4">
        <f>TEXT(LEFT(C184,10),"YYYY-MM-DD")</f>
        <v/>
      </c>
      <c r="E184" s="5">
        <f>HOUR(C184)</f>
        <v/>
      </c>
      <c r="F184" s="4" t="inlineStr">
        <is>
          <t>Unspecified</t>
        </is>
      </c>
      <c r="G184" s="5" t="n">
        <v>73</v>
      </c>
      <c r="H184" s="4">
        <f>IF(G184&gt;=60, "Boomer", IF(G184&gt;=45, "Gen X", IF(G184&gt;=25, "Millennial", "Gen Z")))</f>
        <v/>
      </c>
      <c r="I184" s="4" t="inlineStr">
        <is>
          <t>Savings</t>
        </is>
      </c>
      <c r="J184" s="4" t="inlineStr">
        <is>
          <t>Entertainment</t>
        </is>
      </c>
      <c r="K184" s="6" t="n">
        <v>5429.67</v>
      </c>
      <c r="L184" s="6" t="n">
        <v>28735.76</v>
      </c>
      <c r="M184" s="4" t="inlineStr">
        <is>
          <t>ATM</t>
        </is>
      </c>
      <c r="N184" s="4" t="inlineStr">
        <is>
          <t>N</t>
        </is>
      </c>
      <c r="O184" s="4">
        <f>TEXT(D184, "dddd")</f>
        <v/>
      </c>
      <c r="P184" s="4">
        <f>"Q"&amp;ROUNDUP(MONTH(D184)/3, 0)</f>
        <v/>
      </c>
    </row>
    <row r="185">
      <c r="A185" s="7" t="inlineStr">
        <is>
          <t>TXN100188</t>
        </is>
      </c>
      <c r="B185" s="7" t="inlineStr">
        <is>
          <t>CUST0188</t>
        </is>
      </c>
      <c r="C185" s="7" t="inlineStr">
        <is>
          <t>2026-06-01 14:49:00</t>
        </is>
      </c>
      <c r="D185" s="7">
        <f>TEXT(LEFT(C185,10),"YYYY-MM-DD")</f>
        <v/>
      </c>
      <c r="E185" s="8">
        <f>HOUR(C185)</f>
        <v/>
      </c>
      <c r="F185" s="7" t="inlineStr">
        <is>
          <t>Female</t>
        </is>
      </c>
      <c r="G185" s="8" t="n">
        <v>69</v>
      </c>
      <c r="H185" s="7">
        <f>IF(G185&gt;=60, "Boomer", IF(G185&gt;=45, "Gen X", IF(G185&gt;=25, "Millennial", "Gen Z")))</f>
        <v/>
      </c>
      <c r="I185" s="7" t="inlineStr">
        <is>
          <t>Checking</t>
        </is>
      </c>
      <c r="J185" s="7" t="inlineStr">
        <is>
          <t>Travel</t>
        </is>
      </c>
      <c r="K185" s="9" t="n">
        <v>4224.4</v>
      </c>
      <c r="L185" s="9" t="n">
        <v>48330.27</v>
      </c>
      <c r="M185" s="7" t="inlineStr">
        <is>
          <t>Online Banking</t>
        </is>
      </c>
      <c r="N185" s="7" t="inlineStr">
        <is>
          <t>N</t>
        </is>
      </c>
      <c r="O185" s="7">
        <f>TEXT(D185, "dddd")</f>
        <v/>
      </c>
      <c r="P185" s="7">
        <f>"Q"&amp;ROUNDUP(MONTH(D185)/3, 0)</f>
        <v/>
      </c>
    </row>
    <row r="186">
      <c r="A186" s="4" t="inlineStr">
        <is>
          <t>TXN100189</t>
        </is>
      </c>
      <c r="B186" s="4" t="inlineStr">
        <is>
          <t>CUST0189</t>
        </is>
      </c>
      <c r="C186" s="4" t="inlineStr">
        <is>
          <t>2026-06-01 19:08:00</t>
        </is>
      </c>
      <c r="D186" s="4">
        <f>TEXT(LEFT(C186,10),"YYYY-MM-DD")</f>
        <v/>
      </c>
      <c r="E186" s="5">
        <f>HOUR(C186)</f>
        <v/>
      </c>
      <c r="F186" s="4" t="inlineStr">
        <is>
          <t>Female</t>
        </is>
      </c>
      <c r="G186" s="5" t="n">
        <v>23</v>
      </c>
      <c r="H186" s="4">
        <f>IF(G186&gt;=60, "Boomer", IF(G186&gt;=45, "Gen X", IF(G186&gt;=25, "Millennial", "Gen Z")))</f>
        <v/>
      </c>
      <c r="I186" s="4" t="inlineStr">
        <is>
          <t>Investment</t>
        </is>
      </c>
      <c r="J186" s="4" t="inlineStr">
        <is>
          <t>Utilities</t>
        </is>
      </c>
      <c r="K186" s="6" t="n">
        <v>6994.19</v>
      </c>
      <c r="L186" s="6" t="n">
        <v>27949.77</v>
      </c>
      <c r="M186" s="4" t="inlineStr">
        <is>
          <t>Mobile App</t>
        </is>
      </c>
      <c r="N186" s="4" t="inlineStr">
        <is>
          <t>N</t>
        </is>
      </c>
      <c r="O186" s="4">
        <f>TEXT(D186, "dddd")</f>
        <v/>
      </c>
      <c r="P186" s="4">
        <f>"Q"&amp;ROUNDUP(MONTH(D186)/3, 0)</f>
        <v/>
      </c>
    </row>
    <row r="187">
      <c r="A187" s="7" t="inlineStr">
        <is>
          <t>TXN100190</t>
        </is>
      </c>
      <c r="B187" s="7" t="inlineStr">
        <is>
          <t>CUST0190</t>
        </is>
      </c>
      <c r="C187" s="7" t="inlineStr">
        <is>
          <t>2026-06-01 22:54:00</t>
        </is>
      </c>
      <c r="D187" s="7">
        <f>TEXT(LEFT(C187,10),"YYYY-MM-DD")</f>
        <v/>
      </c>
      <c r="E187" s="8">
        <f>HOUR(C187)</f>
        <v/>
      </c>
      <c r="F187" s="7" t="inlineStr">
        <is>
          <t>Male</t>
        </is>
      </c>
      <c r="G187" s="8" t="n">
        <v>38</v>
      </c>
      <c r="H187" s="7">
        <f>IF(G187&gt;=60, "Boomer", IF(G187&gt;=45, "Gen X", IF(G187&gt;=25, "Millennial", "Gen Z")))</f>
        <v/>
      </c>
      <c r="I187" s="7" t="inlineStr">
        <is>
          <t>Savings</t>
        </is>
      </c>
      <c r="J187" s="7" t="inlineStr">
        <is>
          <t>Groceries</t>
        </is>
      </c>
      <c r="K187" s="9" t="n">
        <v>2189.6</v>
      </c>
      <c r="L187" s="9" t="n">
        <v>45312.66</v>
      </c>
      <c r="M187" s="7" t="inlineStr">
        <is>
          <t>Online Banking</t>
        </is>
      </c>
      <c r="N187" s="7" t="inlineStr">
        <is>
          <t>N</t>
        </is>
      </c>
      <c r="O187" s="7">
        <f>TEXT(D187, "dddd")</f>
        <v/>
      </c>
      <c r="P187" s="7">
        <f>"Q"&amp;ROUNDUP(MONTH(D187)/3, 0)</f>
        <v/>
      </c>
    </row>
    <row r="188">
      <c r="A188" s="4" t="inlineStr">
        <is>
          <t>TXN100191</t>
        </is>
      </c>
      <c r="B188" s="4" t="inlineStr">
        <is>
          <t>CUST0191</t>
        </is>
      </c>
      <c r="C188" s="4" t="inlineStr">
        <is>
          <t>2026-06-01 13:05:00</t>
        </is>
      </c>
      <c r="D188" s="4">
        <f>TEXT(LEFT(C188,10),"YYYY-MM-DD")</f>
        <v/>
      </c>
      <c r="E188" s="5">
        <f>HOUR(C188)</f>
        <v/>
      </c>
      <c r="F188" s="4" t="inlineStr">
        <is>
          <t>Female</t>
        </is>
      </c>
      <c r="G188" s="5" t="n">
        <v>72</v>
      </c>
      <c r="H188" s="4">
        <f>IF(G188&gt;=60, "Boomer", IF(G188&gt;=45, "Gen X", IF(G188&gt;=25, "Millennial", "Gen Z")))</f>
        <v/>
      </c>
      <c r="I188" s="4" t="inlineStr">
        <is>
          <t>Checking</t>
        </is>
      </c>
      <c r="J188" s="4" t="inlineStr">
        <is>
          <t>Entertainment</t>
        </is>
      </c>
      <c r="K188" s="6" t="n">
        <v>7444.47</v>
      </c>
      <c r="L188" s="6" t="n">
        <v>21037.4</v>
      </c>
      <c r="M188" s="4" t="inlineStr">
        <is>
          <t>ATM</t>
        </is>
      </c>
      <c r="N188" s="4" t="inlineStr">
        <is>
          <t>Y</t>
        </is>
      </c>
      <c r="O188" s="4">
        <f>TEXT(D188, "dddd")</f>
        <v/>
      </c>
      <c r="P188" s="4">
        <f>"Q"&amp;ROUNDUP(MONTH(D188)/3, 0)</f>
        <v/>
      </c>
    </row>
    <row r="189">
      <c r="A189" s="7" t="inlineStr">
        <is>
          <t>TXN100192</t>
        </is>
      </c>
      <c r="B189" s="7" t="inlineStr">
        <is>
          <t>CUST0192</t>
        </is>
      </c>
      <c r="C189" s="7" t="inlineStr">
        <is>
          <t>2026-06-01 07:24:00</t>
        </is>
      </c>
      <c r="D189" s="7">
        <f>TEXT(LEFT(C189,10),"YYYY-MM-DD")</f>
        <v/>
      </c>
      <c r="E189" s="8">
        <f>HOUR(C189)</f>
        <v/>
      </c>
      <c r="F189" s="7" t="inlineStr">
        <is>
          <t>Male</t>
        </is>
      </c>
      <c r="G189" s="8" t="n">
        <v>43</v>
      </c>
      <c r="H189" s="7">
        <f>IF(G189&gt;=60, "Boomer", IF(G189&gt;=45, "Gen X", IF(G189&gt;=25, "Millennial", "Gen Z")))</f>
        <v/>
      </c>
      <c r="I189" s="7" t="inlineStr">
        <is>
          <t>Savings</t>
        </is>
      </c>
      <c r="J189" s="7" t="inlineStr">
        <is>
          <t>Groceries</t>
        </is>
      </c>
      <c r="K189" s="9" t="n">
        <v>2556.29</v>
      </c>
      <c r="L189" s="9" t="n">
        <v>5404.61</v>
      </c>
      <c r="M189" s="7" t="inlineStr">
        <is>
          <t>Branch Office</t>
        </is>
      </c>
      <c r="N189" s="7" t="inlineStr">
        <is>
          <t>N</t>
        </is>
      </c>
      <c r="O189" s="7">
        <f>TEXT(D189, "dddd")</f>
        <v/>
      </c>
      <c r="P189" s="7">
        <f>"Q"&amp;ROUNDUP(MONTH(D189)/3, 0)</f>
        <v/>
      </c>
    </row>
    <row r="190">
      <c r="A190" s="4" t="inlineStr">
        <is>
          <t>TXN100193</t>
        </is>
      </c>
      <c r="B190" s="4" t="inlineStr">
        <is>
          <t>CUST0193</t>
        </is>
      </c>
      <c r="C190" s="4" t="inlineStr">
        <is>
          <t>2026-06-01 04:08:00</t>
        </is>
      </c>
      <c r="D190" s="4">
        <f>TEXT(LEFT(C190,10),"YYYY-MM-DD")</f>
        <v/>
      </c>
      <c r="E190" s="5">
        <f>HOUR(C190)</f>
        <v/>
      </c>
      <c r="F190" s="4" t="inlineStr">
        <is>
          <t>Male</t>
        </is>
      </c>
      <c r="G190" s="5" t="n">
        <v>38</v>
      </c>
      <c r="H190" s="4">
        <f>IF(G190&gt;=60, "Boomer", IF(G190&gt;=45, "Gen X", IF(G190&gt;=25, "Millennial", "Gen Z")))</f>
        <v/>
      </c>
      <c r="I190" s="4" t="inlineStr">
        <is>
          <t>Checking</t>
        </is>
      </c>
      <c r="J190" s="4" t="inlineStr">
        <is>
          <t>Groceries</t>
        </is>
      </c>
      <c r="K190" s="6" t="n">
        <v>6073.14</v>
      </c>
      <c r="L190" s="6" t="n">
        <v>23720.95</v>
      </c>
      <c r="M190" s="4" t="inlineStr">
        <is>
          <t>Mobile App</t>
        </is>
      </c>
      <c r="N190" s="4" t="inlineStr">
        <is>
          <t>N</t>
        </is>
      </c>
      <c r="O190" s="4">
        <f>TEXT(D190, "dddd")</f>
        <v/>
      </c>
      <c r="P190" s="4">
        <f>"Q"&amp;ROUNDUP(MONTH(D190)/3, 0)</f>
        <v/>
      </c>
    </row>
    <row r="191">
      <c r="A191" s="7" t="inlineStr">
        <is>
          <t>TXN100194</t>
        </is>
      </c>
      <c r="B191" s="7" t="inlineStr">
        <is>
          <t>CUST0194</t>
        </is>
      </c>
      <c r="C191" s="7" t="inlineStr">
        <is>
          <t>2026-06-01 02:01:00</t>
        </is>
      </c>
      <c r="D191" s="7">
        <f>TEXT(LEFT(C191,10),"YYYY-MM-DD")</f>
        <v/>
      </c>
      <c r="E191" s="8">
        <f>HOUR(C191)</f>
        <v/>
      </c>
      <c r="F191" s="7" t="inlineStr">
        <is>
          <t>Female</t>
        </is>
      </c>
      <c r="G191" s="8" t="n">
        <v>33</v>
      </c>
      <c r="H191" s="7">
        <f>IF(G191&gt;=60, "Boomer", IF(G191&gt;=45, "Gen X", IF(G191&gt;=25, "Millennial", "Gen Z")))</f>
        <v/>
      </c>
      <c r="I191" s="7" t="inlineStr">
        <is>
          <t>Savings</t>
        </is>
      </c>
      <c r="J191" s="7" t="inlineStr">
        <is>
          <t>Travel</t>
        </is>
      </c>
      <c r="K191" s="9" t="n">
        <v>7522.41</v>
      </c>
      <c r="L191" s="9" t="n">
        <v>30639.56</v>
      </c>
      <c r="M191" s="7" t="inlineStr">
        <is>
          <t>ATM</t>
        </is>
      </c>
      <c r="N191" s="7" t="inlineStr">
        <is>
          <t>N</t>
        </is>
      </c>
      <c r="O191" s="7">
        <f>TEXT(D191, "dddd")</f>
        <v/>
      </c>
      <c r="P191" s="7">
        <f>"Q"&amp;ROUNDUP(MONTH(D191)/3, 0)</f>
        <v/>
      </c>
    </row>
    <row r="192">
      <c r="A192" s="4" t="inlineStr">
        <is>
          <t>TXN100195</t>
        </is>
      </c>
      <c r="B192" s="4" t="inlineStr">
        <is>
          <t>CUST0195</t>
        </is>
      </c>
      <c r="C192" s="4" t="inlineStr">
        <is>
          <t>2026-06-01 09:15:00</t>
        </is>
      </c>
      <c r="D192" s="4">
        <f>TEXT(LEFT(C192,10),"YYYY-MM-DD")</f>
        <v/>
      </c>
      <c r="E192" s="5">
        <f>HOUR(C192)</f>
        <v/>
      </c>
      <c r="F192" s="4" t="inlineStr">
        <is>
          <t>Female</t>
        </is>
      </c>
      <c r="G192" s="5" t="n">
        <v>27</v>
      </c>
      <c r="H192" s="4">
        <f>IF(G192&gt;=60, "Boomer", IF(G192&gt;=45, "Gen X", IF(G192&gt;=25, "Millennial", "Gen Z")))</f>
        <v/>
      </c>
      <c r="I192" s="4" t="inlineStr">
        <is>
          <t>Savings</t>
        </is>
      </c>
      <c r="J192" s="4" t="inlineStr">
        <is>
          <t>Groceries</t>
        </is>
      </c>
      <c r="K192" s="6" t="n">
        <v>3364.41</v>
      </c>
      <c r="L192" s="6" t="n">
        <v>39798.01</v>
      </c>
      <c r="M192" s="4" t="inlineStr">
        <is>
          <t>ATM</t>
        </is>
      </c>
      <c r="N192" s="4" t="inlineStr">
        <is>
          <t>N</t>
        </is>
      </c>
      <c r="O192" s="4">
        <f>TEXT(D192, "dddd")</f>
        <v/>
      </c>
      <c r="P192" s="4">
        <f>"Q"&amp;ROUNDUP(MONTH(D192)/3, 0)</f>
        <v/>
      </c>
    </row>
    <row r="193">
      <c r="A193" s="7" t="inlineStr">
        <is>
          <t>TXN100196</t>
        </is>
      </c>
      <c r="B193" s="7" t="inlineStr">
        <is>
          <t>CUST0196</t>
        </is>
      </c>
      <c r="C193" s="7" t="inlineStr">
        <is>
          <t>2026-06-01 02:07:00</t>
        </is>
      </c>
      <c r="D193" s="7">
        <f>TEXT(LEFT(C193,10),"YYYY-MM-DD")</f>
        <v/>
      </c>
      <c r="E193" s="8">
        <f>HOUR(C193)</f>
        <v/>
      </c>
      <c r="F193" s="7" t="inlineStr">
        <is>
          <t>Unspecified</t>
        </is>
      </c>
      <c r="G193" s="8" t="n">
        <v>58</v>
      </c>
      <c r="H193" s="7">
        <f>IF(G193&gt;=60, "Boomer", IF(G193&gt;=45, "Gen X", IF(G193&gt;=25, "Millennial", "Gen Z")))</f>
        <v/>
      </c>
      <c r="I193" s="7" t="inlineStr">
        <is>
          <t>Investment</t>
        </is>
      </c>
      <c r="J193" s="7" t="inlineStr">
        <is>
          <t>Groceries</t>
        </is>
      </c>
      <c r="K193" s="9" t="n">
        <v>5059.32</v>
      </c>
      <c r="L193" s="9" t="n">
        <v>28964.85</v>
      </c>
      <c r="M193" s="7" t="inlineStr">
        <is>
          <t>Online Banking</t>
        </is>
      </c>
      <c r="N193" s="7" t="inlineStr">
        <is>
          <t>N</t>
        </is>
      </c>
      <c r="O193" s="7">
        <f>TEXT(D193, "dddd")</f>
        <v/>
      </c>
      <c r="P193" s="7">
        <f>"Q"&amp;ROUNDUP(MONTH(D193)/3, 0)</f>
        <v/>
      </c>
    </row>
    <row r="194">
      <c r="A194" s="4" t="inlineStr">
        <is>
          <t>TXN100197</t>
        </is>
      </c>
      <c r="B194" s="4" t="inlineStr">
        <is>
          <t>CUST0197</t>
        </is>
      </c>
      <c r="C194" s="4" t="inlineStr">
        <is>
          <t>2026-06-01 09:27:00</t>
        </is>
      </c>
      <c r="D194" s="4">
        <f>TEXT(LEFT(C194,10),"YYYY-MM-DD")</f>
        <v/>
      </c>
      <c r="E194" s="5">
        <f>HOUR(C194)</f>
        <v/>
      </c>
      <c r="F194" s="4" t="inlineStr">
        <is>
          <t>Male</t>
        </is>
      </c>
      <c r="G194" s="5" t="n">
        <v>59</v>
      </c>
      <c r="H194" s="4">
        <f>IF(G194&gt;=60, "Boomer", IF(G194&gt;=45, "Gen X", IF(G194&gt;=25, "Millennial", "Gen Z")))</f>
        <v/>
      </c>
      <c r="I194" s="4" t="inlineStr">
        <is>
          <t>Checking</t>
        </is>
      </c>
      <c r="J194" s="4" t="inlineStr">
        <is>
          <t>Groceries</t>
        </is>
      </c>
      <c r="K194" s="6" t="n">
        <v>4569.6</v>
      </c>
      <c r="L194" s="6" t="n">
        <v>9772.040000000001</v>
      </c>
      <c r="M194" s="4" t="inlineStr">
        <is>
          <t>Mobile App</t>
        </is>
      </c>
      <c r="N194" s="4" t="inlineStr">
        <is>
          <t>N</t>
        </is>
      </c>
      <c r="O194" s="4">
        <f>TEXT(D194, "dddd")</f>
        <v/>
      </c>
      <c r="P194" s="4">
        <f>"Q"&amp;ROUNDUP(MONTH(D194)/3, 0)</f>
        <v/>
      </c>
    </row>
    <row r="195">
      <c r="A195" s="7" t="inlineStr">
        <is>
          <t>TXN100198</t>
        </is>
      </c>
      <c r="B195" s="7" t="inlineStr">
        <is>
          <t>CUST0198</t>
        </is>
      </c>
      <c r="C195" s="7" t="inlineStr">
        <is>
          <t>2026-06-01 16:23:00</t>
        </is>
      </c>
      <c r="D195" s="7">
        <f>TEXT(LEFT(C195,10),"YYYY-MM-DD")</f>
        <v/>
      </c>
      <c r="E195" s="8">
        <f>HOUR(C195)</f>
        <v/>
      </c>
      <c r="F195" s="7" t="inlineStr">
        <is>
          <t>Male</t>
        </is>
      </c>
      <c r="G195" s="8" t="n">
        <v>53</v>
      </c>
      <c r="H195" s="7">
        <f>IF(G195&gt;=60, "Boomer", IF(G195&gt;=45, "Gen X", IF(G195&gt;=25, "Millennial", "Gen Z")))</f>
        <v/>
      </c>
      <c r="I195" s="7" t="inlineStr">
        <is>
          <t>Investment</t>
        </is>
      </c>
      <c r="J195" s="7" t="inlineStr">
        <is>
          <t>Travel</t>
        </is>
      </c>
      <c r="K195" s="9" t="n">
        <v>6293.43</v>
      </c>
      <c r="L195" s="9" t="n">
        <v>25627.32</v>
      </c>
      <c r="M195" s="7" t="inlineStr">
        <is>
          <t>Mobile App</t>
        </is>
      </c>
      <c r="N195" s="7" t="inlineStr">
        <is>
          <t>N</t>
        </is>
      </c>
      <c r="O195" s="7">
        <f>TEXT(D195, "dddd")</f>
        <v/>
      </c>
      <c r="P195" s="7">
        <f>"Q"&amp;ROUNDUP(MONTH(D195)/3, 0)</f>
        <v/>
      </c>
    </row>
    <row r="196">
      <c r="A196" s="4" t="inlineStr">
        <is>
          <t>TXN100199</t>
        </is>
      </c>
      <c r="B196" s="4" t="inlineStr">
        <is>
          <t>CUST0199</t>
        </is>
      </c>
      <c r="C196" s="4" t="inlineStr">
        <is>
          <t>2026-06-01 12:55:00</t>
        </is>
      </c>
      <c r="D196" s="4">
        <f>TEXT(LEFT(C196,10),"YYYY-MM-DD")</f>
        <v/>
      </c>
      <c r="E196" s="5">
        <f>HOUR(C196)</f>
        <v/>
      </c>
      <c r="F196" s="4" t="inlineStr">
        <is>
          <t>Unspecified</t>
        </is>
      </c>
      <c r="G196" s="5" t="n">
        <v>22</v>
      </c>
      <c r="H196" s="4">
        <f>IF(G196&gt;=60, "Boomer", IF(G196&gt;=45, "Gen X", IF(G196&gt;=25, "Millennial", "Gen Z")))</f>
        <v/>
      </c>
      <c r="I196" s="4" t="inlineStr">
        <is>
          <t>Investment</t>
        </is>
      </c>
      <c r="J196" s="4" t="inlineStr">
        <is>
          <t>Utilities</t>
        </is>
      </c>
      <c r="K196" s="6" t="n">
        <v>7848.5</v>
      </c>
      <c r="L196" s="6" t="n">
        <v>13055.69</v>
      </c>
      <c r="M196" s="4" t="inlineStr">
        <is>
          <t>Mobile App</t>
        </is>
      </c>
      <c r="N196" s="4" t="inlineStr">
        <is>
          <t>N</t>
        </is>
      </c>
      <c r="O196" s="4">
        <f>TEXT(D196, "dddd")</f>
        <v/>
      </c>
      <c r="P196" s="4">
        <f>"Q"&amp;ROUNDUP(MONTH(D196)/3, 0)</f>
        <v/>
      </c>
    </row>
    <row r="197">
      <c r="A197" s="7" t="inlineStr">
        <is>
          <t>TXN100200</t>
        </is>
      </c>
      <c r="B197" s="7" t="inlineStr">
        <is>
          <t>CUST0200</t>
        </is>
      </c>
      <c r="C197" s="7" t="inlineStr">
        <is>
          <t>2026-06-01 02:22:00</t>
        </is>
      </c>
      <c r="D197" s="7">
        <f>TEXT(LEFT(C197,10),"YYYY-MM-DD")</f>
        <v/>
      </c>
      <c r="E197" s="8">
        <f>HOUR(C197)</f>
        <v/>
      </c>
      <c r="F197" s="7" t="inlineStr">
        <is>
          <t>Female</t>
        </is>
      </c>
      <c r="G197" s="8" t="n">
        <v>66</v>
      </c>
      <c r="H197" s="7">
        <f>IF(G197&gt;=60, "Boomer", IF(G197&gt;=45, "Gen X", IF(G197&gt;=25, "Millennial", "Gen Z")))</f>
        <v/>
      </c>
      <c r="I197" s="7" t="inlineStr">
        <is>
          <t>Investment</t>
        </is>
      </c>
      <c r="J197" s="7" t="inlineStr">
        <is>
          <t>Groceries</t>
        </is>
      </c>
      <c r="K197" s="9" t="n">
        <v>6174.3</v>
      </c>
      <c r="L197" s="9" t="n">
        <v>36891.76</v>
      </c>
      <c r="M197" s="7" t="inlineStr">
        <is>
          <t>Branch Office</t>
        </is>
      </c>
      <c r="N197" s="7" t="inlineStr">
        <is>
          <t>N</t>
        </is>
      </c>
      <c r="O197" s="7">
        <f>TEXT(D197, "dddd")</f>
        <v/>
      </c>
      <c r="P197" s="7">
        <f>"Q"&amp;ROUNDUP(MONTH(D197)/3, 0)</f>
        <v/>
      </c>
    </row>
    <row r="198">
      <c r="A198" s="4" t="inlineStr">
        <is>
          <t>TXN100201</t>
        </is>
      </c>
      <c r="B198" s="4" t="inlineStr">
        <is>
          <t>CUST0201</t>
        </is>
      </c>
      <c r="C198" s="4" t="inlineStr">
        <is>
          <t>2026-06-01 04:02:00</t>
        </is>
      </c>
      <c r="D198" s="4">
        <f>TEXT(LEFT(C198,10),"YYYY-MM-DD")</f>
        <v/>
      </c>
      <c r="E198" s="5">
        <f>HOUR(C198)</f>
        <v/>
      </c>
      <c r="F198" s="4" t="inlineStr">
        <is>
          <t>Female</t>
        </is>
      </c>
      <c r="G198" s="5" t="n">
        <v>54</v>
      </c>
      <c r="H198" s="4">
        <f>IF(G198&gt;=60, "Boomer", IF(G198&gt;=45, "Gen X", IF(G198&gt;=25, "Millennial", "Gen Z")))</f>
        <v/>
      </c>
      <c r="I198" s="4" t="inlineStr">
        <is>
          <t>Checking</t>
        </is>
      </c>
      <c r="J198" s="4" t="inlineStr">
        <is>
          <t>Groceries</t>
        </is>
      </c>
      <c r="K198" s="6" t="n">
        <v>6644.77</v>
      </c>
      <c r="L198" s="6" t="n">
        <v>34391.79</v>
      </c>
      <c r="M198" s="4" t="inlineStr">
        <is>
          <t>ATM</t>
        </is>
      </c>
      <c r="N198" s="4" t="inlineStr">
        <is>
          <t>N</t>
        </is>
      </c>
      <c r="O198" s="4">
        <f>TEXT(D198, "dddd")</f>
        <v/>
      </c>
      <c r="P198" s="4">
        <f>"Q"&amp;ROUNDUP(MONTH(D198)/3, 0)</f>
        <v/>
      </c>
    </row>
    <row r="199">
      <c r="A199" s="7" t="inlineStr">
        <is>
          <t>TXN100202</t>
        </is>
      </c>
      <c r="B199" s="7" t="inlineStr">
        <is>
          <t>CUST0202</t>
        </is>
      </c>
      <c r="C199" s="7" t="inlineStr">
        <is>
          <t>2026-06-01 20:11:00</t>
        </is>
      </c>
      <c r="D199" s="7">
        <f>TEXT(LEFT(C199,10),"YYYY-MM-DD")</f>
        <v/>
      </c>
      <c r="E199" s="8">
        <f>HOUR(C199)</f>
        <v/>
      </c>
      <c r="F199" s="7" t="inlineStr">
        <is>
          <t>Male</t>
        </is>
      </c>
      <c r="G199" s="8" t="n">
        <v>24</v>
      </c>
      <c r="H199" s="7">
        <f>IF(G199&gt;=60, "Boomer", IF(G199&gt;=45, "Gen X", IF(G199&gt;=25, "Millennial", "Gen Z")))</f>
        <v/>
      </c>
      <c r="I199" s="7" t="inlineStr">
        <is>
          <t>Investment</t>
        </is>
      </c>
      <c r="J199" s="7" t="inlineStr">
        <is>
          <t>Utilities</t>
        </is>
      </c>
      <c r="K199" s="9" t="n">
        <v>305.5</v>
      </c>
      <c r="L199" s="9" t="n">
        <v>10478.75</v>
      </c>
      <c r="M199" s="7" t="inlineStr">
        <is>
          <t>Online Banking</t>
        </is>
      </c>
      <c r="N199" s="7" t="inlineStr">
        <is>
          <t>N</t>
        </is>
      </c>
      <c r="O199" s="7">
        <f>TEXT(D199, "dddd")</f>
        <v/>
      </c>
      <c r="P199" s="7">
        <f>"Q"&amp;ROUNDUP(MONTH(D199)/3, 0)</f>
        <v/>
      </c>
    </row>
    <row r="200">
      <c r="A200" s="4" t="inlineStr">
        <is>
          <t>TXN100203</t>
        </is>
      </c>
      <c r="B200" s="4" t="inlineStr">
        <is>
          <t>CUST0203</t>
        </is>
      </c>
      <c r="C200" s="4" t="inlineStr">
        <is>
          <t>2026-06-01 01:20:00</t>
        </is>
      </c>
      <c r="D200" s="4">
        <f>TEXT(LEFT(C200,10),"YYYY-MM-DD")</f>
        <v/>
      </c>
      <c r="E200" s="5">
        <f>HOUR(C200)</f>
        <v/>
      </c>
      <c r="F200" s="4" t="inlineStr">
        <is>
          <t>Female</t>
        </is>
      </c>
      <c r="G200" s="5" t="n">
        <v>52</v>
      </c>
      <c r="H200" s="4">
        <f>IF(G200&gt;=60, "Boomer", IF(G200&gt;=45, "Gen X", IF(G200&gt;=25, "Millennial", "Gen Z")))</f>
        <v/>
      </c>
      <c r="I200" s="4" t="inlineStr">
        <is>
          <t>Checking</t>
        </is>
      </c>
      <c r="J200" s="4" t="inlineStr">
        <is>
          <t>Travel</t>
        </is>
      </c>
      <c r="K200" s="6" t="n">
        <v>3792.46</v>
      </c>
      <c r="L200" s="6" t="n">
        <v>2312.73</v>
      </c>
      <c r="M200" s="4" t="inlineStr">
        <is>
          <t>Online Banking</t>
        </is>
      </c>
      <c r="N200" s="4" t="inlineStr">
        <is>
          <t>N</t>
        </is>
      </c>
      <c r="O200" s="4">
        <f>TEXT(D200, "dddd")</f>
        <v/>
      </c>
      <c r="P200" s="4">
        <f>"Q"&amp;ROUNDUP(MONTH(D200)/3, 0)</f>
        <v/>
      </c>
    </row>
    <row r="201">
      <c r="A201" s="7" t="inlineStr">
        <is>
          <t>TXN100204</t>
        </is>
      </c>
      <c r="B201" s="7" t="inlineStr">
        <is>
          <t>CUST0204</t>
        </is>
      </c>
      <c r="C201" s="7" t="inlineStr">
        <is>
          <t>2026-06-01 09:22:00</t>
        </is>
      </c>
      <c r="D201" s="7">
        <f>TEXT(LEFT(C201,10),"YYYY-MM-DD")</f>
        <v/>
      </c>
      <c r="E201" s="8">
        <f>HOUR(C201)</f>
        <v/>
      </c>
      <c r="F201" s="7" t="inlineStr">
        <is>
          <t>Male</t>
        </is>
      </c>
      <c r="G201" s="8" t="n">
        <v>75</v>
      </c>
      <c r="H201" s="7">
        <f>IF(G201&gt;=60, "Boomer", IF(G201&gt;=45, "Gen X", IF(G201&gt;=25, "Millennial", "Gen Z")))</f>
        <v/>
      </c>
      <c r="I201" s="7" t="inlineStr">
        <is>
          <t>Investment</t>
        </is>
      </c>
      <c r="J201" s="7" t="inlineStr">
        <is>
          <t>Entertainment</t>
        </is>
      </c>
      <c r="K201" s="9" t="n">
        <v>2193</v>
      </c>
      <c r="L201" s="9" t="n">
        <v>40067.45</v>
      </c>
      <c r="M201" s="7" t="inlineStr">
        <is>
          <t>ATM</t>
        </is>
      </c>
      <c r="N201" s="7" t="inlineStr">
        <is>
          <t>N</t>
        </is>
      </c>
      <c r="O201" s="7">
        <f>TEXT(D201, "dddd")</f>
        <v/>
      </c>
      <c r="P201" s="7">
        <f>"Q"&amp;ROUNDUP(MONTH(D201)/3, 0)</f>
        <v/>
      </c>
    </row>
    <row r="202">
      <c r="A202" s="4" t="inlineStr">
        <is>
          <t>TXN100205</t>
        </is>
      </c>
      <c r="B202" s="4" t="inlineStr">
        <is>
          <t>CUST0205</t>
        </is>
      </c>
      <c r="C202" s="4" t="inlineStr">
        <is>
          <t>2026-06-01 12:47:00</t>
        </is>
      </c>
      <c r="D202" s="4">
        <f>TEXT(LEFT(C202,10),"YYYY-MM-DD")</f>
        <v/>
      </c>
      <c r="E202" s="5">
        <f>HOUR(C202)</f>
        <v/>
      </c>
      <c r="F202" s="4" t="inlineStr">
        <is>
          <t>Unspecified</t>
        </is>
      </c>
      <c r="G202" s="5" t="n">
        <v>44</v>
      </c>
      <c r="H202" s="4">
        <f>IF(G202&gt;=60, "Boomer", IF(G202&gt;=45, "Gen X", IF(G202&gt;=25, "Millennial", "Gen Z")))</f>
        <v/>
      </c>
      <c r="I202" s="4" t="inlineStr">
        <is>
          <t>Checking</t>
        </is>
      </c>
      <c r="J202" s="4" t="inlineStr">
        <is>
          <t>Groceries</t>
        </is>
      </c>
      <c r="K202" s="6" t="n">
        <v>3974.66</v>
      </c>
      <c r="L202" s="6" t="n">
        <v>25127.41</v>
      </c>
      <c r="M202" s="4" t="inlineStr">
        <is>
          <t>Branch Office</t>
        </is>
      </c>
      <c r="N202" s="4" t="inlineStr">
        <is>
          <t>N</t>
        </is>
      </c>
      <c r="O202" s="4">
        <f>TEXT(D202, "dddd")</f>
        <v/>
      </c>
      <c r="P202" s="4">
        <f>"Q"&amp;ROUNDUP(MONTH(D202)/3, 0)</f>
        <v/>
      </c>
    </row>
    <row r="203">
      <c r="A203" s="7" t="inlineStr">
        <is>
          <t>TXN100206</t>
        </is>
      </c>
      <c r="B203" s="7" t="inlineStr">
        <is>
          <t>CUST0206</t>
        </is>
      </c>
      <c r="C203" s="7" t="inlineStr">
        <is>
          <t>2026-06-01 02:46:00</t>
        </is>
      </c>
      <c r="D203" s="7">
        <f>TEXT(LEFT(C203,10),"YYYY-MM-DD")</f>
        <v/>
      </c>
      <c r="E203" s="8">
        <f>HOUR(C203)</f>
        <v/>
      </c>
      <c r="F203" s="7" t="inlineStr">
        <is>
          <t>Unspecified</t>
        </is>
      </c>
      <c r="G203" s="8" t="n">
        <v>25</v>
      </c>
      <c r="H203" s="7">
        <f>IF(G203&gt;=60, "Boomer", IF(G203&gt;=45, "Gen X", IF(G203&gt;=25, "Millennial", "Gen Z")))</f>
        <v/>
      </c>
      <c r="I203" s="7" t="inlineStr">
        <is>
          <t>Checking</t>
        </is>
      </c>
      <c r="J203" s="7" t="inlineStr">
        <is>
          <t>Travel</t>
        </is>
      </c>
      <c r="K203" s="9" t="n">
        <v>7960.83</v>
      </c>
      <c r="L203" s="9" t="n">
        <v>9432.6</v>
      </c>
      <c r="M203" s="7" t="inlineStr">
        <is>
          <t>Branch Office</t>
        </is>
      </c>
      <c r="N203" s="7" t="inlineStr">
        <is>
          <t>N</t>
        </is>
      </c>
      <c r="O203" s="7">
        <f>TEXT(D203, "dddd")</f>
        <v/>
      </c>
      <c r="P203" s="7">
        <f>"Q"&amp;ROUNDUP(MONTH(D203)/3, 0)</f>
        <v/>
      </c>
    </row>
    <row r="204">
      <c r="A204" s="4" t="inlineStr">
        <is>
          <t>TXN100207</t>
        </is>
      </c>
      <c r="B204" s="4" t="inlineStr">
        <is>
          <t>CUST0207</t>
        </is>
      </c>
      <c r="C204" s="4" t="inlineStr">
        <is>
          <t>2026-06-01 02:20:00</t>
        </is>
      </c>
      <c r="D204" s="4">
        <f>TEXT(LEFT(C204,10),"YYYY-MM-DD")</f>
        <v/>
      </c>
      <c r="E204" s="5">
        <f>HOUR(C204)</f>
        <v/>
      </c>
      <c r="F204" s="4" t="inlineStr">
        <is>
          <t>Female</t>
        </is>
      </c>
      <c r="G204" s="5" t="n">
        <v>39</v>
      </c>
      <c r="H204" s="4">
        <f>IF(G204&gt;=60, "Boomer", IF(G204&gt;=45, "Gen X", IF(G204&gt;=25, "Millennial", "Gen Z")))</f>
        <v/>
      </c>
      <c r="I204" s="4" t="inlineStr">
        <is>
          <t>Checking</t>
        </is>
      </c>
      <c r="J204" s="4" t="inlineStr">
        <is>
          <t>Travel</t>
        </is>
      </c>
      <c r="K204" s="6" t="n">
        <v>5744.13</v>
      </c>
      <c r="L204" s="6" t="n">
        <v>8748.92</v>
      </c>
      <c r="M204" s="4" t="inlineStr">
        <is>
          <t>ATM</t>
        </is>
      </c>
      <c r="N204" s="4" t="inlineStr">
        <is>
          <t>N</t>
        </is>
      </c>
      <c r="O204" s="4">
        <f>TEXT(D204, "dddd")</f>
        <v/>
      </c>
      <c r="P204" s="4">
        <f>"Q"&amp;ROUNDUP(MONTH(D204)/3, 0)</f>
        <v/>
      </c>
    </row>
    <row r="205">
      <c r="A205" s="7" t="inlineStr">
        <is>
          <t>TXN100208</t>
        </is>
      </c>
      <c r="B205" s="7" t="inlineStr">
        <is>
          <t>CUST0208</t>
        </is>
      </c>
      <c r="C205" s="7" t="inlineStr">
        <is>
          <t>2026-06-01 11:28:00</t>
        </is>
      </c>
      <c r="D205" s="7">
        <f>TEXT(LEFT(C205,10),"YYYY-MM-DD")</f>
        <v/>
      </c>
      <c r="E205" s="8">
        <f>HOUR(C205)</f>
        <v/>
      </c>
      <c r="F205" s="7" t="inlineStr">
        <is>
          <t>Male</t>
        </is>
      </c>
      <c r="G205" s="8" t="n">
        <v>66</v>
      </c>
      <c r="H205" s="7">
        <f>IF(G205&gt;=60, "Boomer", IF(G205&gt;=45, "Gen X", IF(G205&gt;=25, "Millennial", "Gen Z")))</f>
        <v/>
      </c>
      <c r="I205" s="7" t="inlineStr">
        <is>
          <t>Checking</t>
        </is>
      </c>
      <c r="J205" s="7" t="inlineStr">
        <is>
          <t>Travel</t>
        </is>
      </c>
      <c r="K205" s="9" t="n">
        <v>7985.22</v>
      </c>
      <c r="L205" s="9" t="n">
        <v>14090.49</v>
      </c>
      <c r="M205" s="7" t="inlineStr">
        <is>
          <t>Mobile App</t>
        </is>
      </c>
      <c r="N205" s="7" t="inlineStr">
        <is>
          <t>N</t>
        </is>
      </c>
      <c r="O205" s="7">
        <f>TEXT(D205, "dddd")</f>
        <v/>
      </c>
      <c r="P205" s="7">
        <f>"Q"&amp;ROUNDUP(MONTH(D205)/3, 0)</f>
        <v/>
      </c>
    </row>
    <row r="206">
      <c r="A206" s="4" t="inlineStr">
        <is>
          <t>TXN100209</t>
        </is>
      </c>
      <c r="B206" s="4" t="inlineStr">
        <is>
          <t>CUST0209</t>
        </is>
      </c>
      <c r="C206" s="4" t="inlineStr">
        <is>
          <t>2026-06-01 20:25:00</t>
        </is>
      </c>
      <c r="D206" s="4">
        <f>TEXT(LEFT(C206,10),"YYYY-MM-DD")</f>
        <v/>
      </c>
      <c r="E206" s="5">
        <f>HOUR(C206)</f>
        <v/>
      </c>
      <c r="F206" s="4" t="inlineStr">
        <is>
          <t>Female</t>
        </is>
      </c>
      <c r="G206" s="5" t="n">
        <v>52</v>
      </c>
      <c r="H206" s="4">
        <f>IF(G206&gt;=60, "Boomer", IF(G206&gt;=45, "Gen X", IF(G206&gt;=25, "Millennial", "Gen Z")))</f>
        <v/>
      </c>
      <c r="I206" s="4" t="inlineStr">
        <is>
          <t>Investment</t>
        </is>
      </c>
      <c r="J206" s="4" t="inlineStr">
        <is>
          <t>Groceries</t>
        </is>
      </c>
      <c r="K206" s="6" t="n">
        <v>7622.79</v>
      </c>
      <c r="L206" s="6" t="n">
        <v>7567.58</v>
      </c>
      <c r="M206" s="4" t="inlineStr">
        <is>
          <t>ATM</t>
        </is>
      </c>
      <c r="N206" s="4" t="inlineStr">
        <is>
          <t>N</t>
        </is>
      </c>
      <c r="O206" s="4">
        <f>TEXT(D206, "dddd")</f>
        <v/>
      </c>
      <c r="P206" s="4">
        <f>"Q"&amp;ROUNDUP(MONTH(D206)/3, 0)</f>
        <v/>
      </c>
    </row>
    <row r="207">
      <c r="A207" s="7" t="inlineStr">
        <is>
          <t>TXN100210</t>
        </is>
      </c>
      <c r="B207" s="7" t="inlineStr">
        <is>
          <t>CUST0210</t>
        </is>
      </c>
      <c r="C207" s="7" t="inlineStr">
        <is>
          <t>2026-06-01 02:15:00</t>
        </is>
      </c>
      <c r="D207" s="7">
        <f>TEXT(LEFT(C207,10),"YYYY-MM-DD")</f>
        <v/>
      </c>
      <c r="E207" s="8">
        <f>HOUR(C207)</f>
        <v/>
      </c>
      <c r="F207" s="7" t="inlineStr">
        <is>
          <t>Female</t>
        </is>
      </c>
      <c r="G207" s="8" t="n">
        <v>43</v>
      </c>
      <c r="H207" s="7">
        <f>IF(G207&gt;=60, "Boomer", IF(G207&gt;=45, "Gen X", IF(G207&gt;=25, "Millennial", "Gen Z")))</f>
        <v/>
      </c>
      <c r="I207" s="7" t="inlineStr">
        <is>
          <t>Checking</t>
        </is>
      </c>
      <c r="J207" s="7" t="inlineStr">
        <is>
          <t>Travel</t>
        </is>
      </c>
      <c r="K207" s="9" t="n">
        <v>268.76</v>
      </c>
      <c r="L207" s="9" t="n">
        <v>8095.19</v>
      </c>
      <c r="M207" s="7" t="inlineStr">
        <is>
          <t>ATM</t>
        </is>
      </c>
      <c r="N207" s="7" t="inlineStr">
        <is>
          <t>N</t>
        </is>
      </c>
      <c r="O207" s="7">
        <f>TEXT(D207, "dddd")</f>
        <v/>
      </c>
      <c r="P207" s="7">
        <f>"Q"&amp;ROUNDUP(MONTH(D207)/3, 0)</f>
        <v/>
      </c>
    </row>
    <row r="208">
      <c r="A208" s="4" t="inlineStr">
        <is>
          <t>TXN100211</t>
        </is>
      </c>
      <c r="B208" s="4" t="inlineStr">
        <is>
          <t>CUST0211</t>
        </is>
      </c>
      <c r="C208" s="4" t="inlineStr">
        <is>
          <t>2026-06-01 11:23:00</t>
        </is>
      </c>
      <c r="D208" s="4">
        <f>TEXT(LEFT(C208,10),"YYYY-MM-DD")</f>
        <v/>
      </c>
      <c r="E208" s="5">
        <f>HOUR(C208)</f>
        <v/>
      </c>
      <c r="F208" s="4" t="inlineStr">
        <is>
          <t>Unspecified</t>
        </is>
      </c>
      <c r="G208" s="5" t="n">
        <v>68</v>
      </c>
      <c r="H208" s="4">
        <f>IF(G208&gt;=60, "Boomer", IF(G208&gt;=45, "Gen X", IF(G208&gt;=25, "Millennial", "Gen Z")))</f>
        <v/>
      </c>
      <c r="I208" s="4" t="inlineStr">
        <is>
          <t>Savings</t>
        </is>
      </c>
      <c r="J208" s="4" t="inlineStr">
        <is>
          <t>Travel</t>
        </is>
      </c>
      <c r="K208" s="6" t="n">
        <v>1110.18</v>
      </c>
      <c r="L208" s="6" t="n">
        <v>18664.02</v>
      </c>
      <c r="M208" s="4" t="inlineStr">
        <is>
          <t>Branch Office</t>
        </is>
      </c>
      <c r="N208" s="4" t="inlineStr">
        <is>
          <t>N</t>
        </is>
      </c>
      <c r="O208" s="4">
        <f>TEXT(D208, "dddd")</f>
        <v/>
      </c>
      <c r="P208" s="4">
        <f>"Q"&amp;ROUNDUP(MONTH(D208)/3, 0)</f>
        <v/>
      </c>
    </row>
    <row r="209">
      <c r="A209" s="7" t="inlineStr">
        <is>
          <t>TXN100212</t>
        </is>
      </c>
      <c r="B209" s="7" t="inlineStr">
        <is>
          <t>CUST0212</t>
        </is>
      </c>
      <c r="C209" s="7" t="inlineStr">
        <is>
          <t>2026-06-01 20:17:00</t>
        </is>
      </c>
      <c r="D209" s="7">
        <f>TEXT(LEFT(C209,10),"YYYY-MM-DD")</f>
        <v/>
      </c>
      <c r="E209" s="8">
        <f>HOUR(C209)</f>
        <v/>
      </c>
      <c r="F209" s="7" t="inlineStr">
        <is>
          <t>Female</t>
        </is>
      </c>
      <c r="G209" s="8" t="n">
        <v>27</v>
      </c>
      <c r="H209" s="7">
        <f>IF(G209&gt;=60, "Boomer", IF(G209&gt;=45, "Gen X", IF(G209&gt;=25, "Millennial", "Gen Z")))</f>
        <v/>
      </c>
      <c r="I209" s="7" t="inlineStr">
        <is>
          <t>Savings</t>
        </is>
      </c>
      <c r="J209" s="7" t="inlineStr">
        <is>
          <t>Groceries</t>
        </is>
      </c>
      <c r="K209" s="9" t="n">
        <v>3997.36</v>
      </c>
      <c r="L209" s="9" t="n">
        <v>19655.88</v>
      </c>
      <c r="M209" s="7" t="inlineStr">
        <is>
          <t>Mobile App</t>
        </is>
      </c>
      <c r="N209" s="7" t="inlineStr">
        <is>
          <t>N</t>
        </is>
      </c>
      <c r="O209" s="7">
        <f>TEXT(D209, "dddd")</f>
        <v/>
      </c>
      <c r="P209" s="7">
        <f>"Q"&amp;ROUNDUP(MONTH(D209)/3, 0)</f>
        <v/>
      </c>
    </row>
    <row r="210">
      <c r="A210" s="4" t="inlineStr">
        <is>
          <t>TXN100213</t>
        </is>
      </c>
      <c r="B210" s="4" t="inlineStr">
        <is>
          <t>CUST0213</t>
        </is>
      </c>
      <c r="C210" s="4" t="inlineStr">
        <is>
          <t>2026-06-01 08:49:00</t>
        </is>
      </c>
      <c r="D210" s="4">
        <f>TEXT(LEFT(C210,10),"YYYY-MM-DD")</f>
        <v/>
      </c>
      <c r="E210" s="5">
        <f>HOUR(C210)</f>
        <v/>
      </c>
      <c r="F210" s="4" t="inlineStr">
        <is>
          <t>Female</t>
        </is>
      </c>
      <c r="G210" s="5" t="n">
        <v>65</v>
      </c>
      <c r="H210" s="4">
        <f>IF(G210&gt;=60, "Boomer", IF(G210&gt;=45, "Gen X", IF(G210&gt;=25, "Millennial", "Gen Z")))</f>
        <v/>
      </c>
      <c r="I210" s="4" t="inlineStr">
        <is>
          <t>Checking</t>
        </is>
      </c>
      <c r="J210" s="4" t="inlineStr">
        <is>
          <t>Groceries</t>
        </is>
      </c>
      <c r="K210" s="6" t="n">
        <v>7970.96</v>
      </c>
      <c r="L210" s="6" t="n">
        <v>14636.06</v>
      </c>
      <c r="M210" s="4" t="inlineStr">
        <is>
          <t>ATM</t>
        </is>
      </c>
      <c r="N210" s="4" t="inlineStr">
        <is>
          <t>N</t>
        </is>
      </c>
      <c r="O210" s="4">
        <f>TEXT(D210, "dddd")</f>
        <v/>
      </c>
      <c r="P210" s="4">
        <f>"Q"&amp;ROUNDUP(MONTH(D210)/3, 0)</f>
        <v/>
      </c>
    </row>
    <row r="211">
      <c r="A211" s="7" t="inlineStr">
        <is>
          <t>TXN100214</t>
        </is>
      </c>
      <c r="B211" s="7" t="inlineStr">
        <is>
          <t>CUST0214</t>
        </is>
      </c>
      <c r="C211" s="7" t="inlineStr">
        <is>
          <t>2026-06-01 04:54:00</t>
        </is>
      </c>
      <c r="D211" s="7">
        <f>TEXT(LEFT(C211,10),"YYYY-MM-DD")</f>
        <v/>
      </c>
      <c r="E211" s="8">
        <f>HOUR(C211)</f>
        <v/>
      </c>
      <c r="F211" s="7" t="inlineStr">
        <is>
          <t>Male</t>
        </is>
      </c>
      <c r="G211" s="8" t="n">
        <v>48</v>
      </c>
      <c r="H211" s="7">
        <f>IF(G211&gt;=60, "Boomer", IF(G211&gt;=45, "Gen X", IF(G211&gt;=25, "Millennial", "Gen Z")))</f>
        <v/>
      </c>
      <c r="I211" s="7" t="inlineStr">
        <is>
          <t>Savings</t>
        </is>
      </c>
      <c r="J211" s="7" t="inlineStr">
        <is>
          <t>Utilities</t>
        </is>
      </c>
      <c r="K211" s="9" t="n">
        <v>7978.13</v>
      </c>
      <c r="L211" s="9" t="n">
        <v>40620.4</v>
      </c>
      <c r="M211" s="7" t="inlineStr">
        <is>
          <t>Branch Office</t>
        </is>
      </c>
      <c r="N211" s="7" t="inlineStr">
        <is>
          <t>Y</t>
        </is>
      </c>
      <c r="O211" s="7">
        <f>TEXT(D211, "dddd")</f>
        <v/>
      </c>
      <c r="P211" s="7">
        <f>"Q"&amp;ROUNDUP(MONTH(D211)/3, 0)</f>
        <v/>
      </c>
    </row>
    <row r="212">
      <c r="A212" s="4" t="inlineStr">
        <is>
          <t>TXN100215</t>
        </is>
      </c>
      <c r="B212" s="4" t="inlineStr">
        <is>
          <t>CUST0215</t>
        </is>
      </c>
      <c r="C212" s="4" t="inlineStr">
        <is>
          <t>2026-06-01 22:04:00</t>
        </is>
      </c>
      <c r="D212" s="4">
        <f>TEXT(LEFT(C212,10),"YYYY-MM-DD")</f>
        <v/>
      </c>
      <c r="E212" s="5">
        <f>HOUR(C212)</f>
        <v/>
      </c>
      <c r="F212" s="4" t="inlineStr">
        <is>
          <t>Female</t>
        </is>
      </c>
      <c r="G212" s="5" t="n">
        <v>39</v>
      </c>
      <c r="H212" s="4">
        <f>IF(G212&gt;=60, "Boomer", IF(G212&gt;=45, "Gen X", IF(G212&gt;=25, "Millennial", "Gen Z")))</f>
        <v/>
      </c>
      <c r="I212" s="4" t="inlineStr">
        <is>
          <t>Savings</t>
        </is>
      </c>
      <c r="J212" s="4" t="inlineStr">
        <is>
          <t>Groceries</t>
        </is>
      </c>
      <c r="K212" s="6" t="n">
        <v>6351.63</v>
      </c>
      <c r="L212" s="6" t="n">
        <v>25683.41</v>
      </c>
      <c r="M212" s="4" t="inlineStr">
        <is>
          <t>Mobile App</t>
        </is>
      </c>
      <c r="N212" s="4" t="inlineStr">
        <is>
          <t>N</t>
        </is>
      </c>
      <c r="O212" s="4">
        <f>TEXT(D212, "dddd")</f>
        <v/>
      </c>
      <c r="P212" s="4">
        <f>"Q"&amp;ROUNDUP(MONTH(D212)/3, 0)</f>
        <v/>
      </c>
    </row>
    <row r="213">
      <c r="A213" s="7" t="inlineStr">
        <is>
          <t>TXN100216</t>
        </is>
      </c>
      <c r="B213" s="7" t="inlineStr">
        <is>
          <t>CUST0216</t>
        </is>
      </c>
      <c r="C213" s="7" t="inlineStr">
        <is>
          <t>2026-06-01 06:50:00</t>
        </is>
      </c>
      <c r="D213" s="7">
        <f>TEXT(LEFT(C213,10),"YYYY-MM-DD")</f>
        <v/>
      </c>
      <c r="E213" s="8">
        <f>HOUR(C213)</f>
        <v/>
      </c>
      <c r="F213" s="7" t="inlineStr">
        <is>
          <t>Male</t>
        </is>
      </c>
      <c r="G213" s="8" t="n">
        <v>35</v>
      </c>
      <c r="H213" s="7">
        <f>IF(G213&gt;=60, "Boomer", IF(G213&gt;=45, "Gen X", IF(G213&gt;=25, "Millennial", "Gen Z")))</f>
        <v/>
      </c>
      <c r="I213" s="7" t="inlineStr">
        <is>
          <t>Checking</t>
        </is>
      </c>
      <c r="J213" s="7" t="inlineStr">
        <is>
          <t>Groceries</t>
        </is>
      </c>
      <c r="K213" s="9" t="n">
        <v>2893.56</v>
      </c>
      <c r="L213" s="9" t="n">
        <v>28827.73</v>
      </c>
      <c r="M213" s="7" t="inlineStr">
        <is>
          <t>ATM</t>
        </is>
      </c>
      <c r="N213" s="7" t="inlineStr">
        <is>
          <t>N</t>
        </is>
      </c>
      <c r="O213" s="7">
        <f>TEXT(D213, "dddd")</f>
        <v/>
      </c>
      <c r="P213" s="7">
        <f>"Q"&amp;ROUNDUP(MONTH(D213)/3, 0)</f>
        <v/>
      </c>
    </row>
    <row r="214">
      <c r="A214" s="4" t="inlineStr">
        <is>
          <t>TXN100217</t>
        </is>
      </c>
      <c r="B214" s="4" t="inlineStr">
        <is>
          <t>CUST0217</t>
        </is>
      </c>
      <c r="C214" s="4" t="inlineStr">
        <is>
          <t>2026-06-01 17:08:00</t>
        </is>
      </c>
      <c r="D214" s="4">
        <f>TEXT(LEFT(C214,10),"YYYY-MM-DD")</f>
        <v/>
      </c>
      <c r="E214" s="5">
        <f>HOUR(C214)</f>
        <v/>
      </c>
      <c r="F214" s="4" t="inlineStr">
        <is>
          <t>Male</t>
        </is>
      </c>
      <c r="G214" s="5" t="n">
        <v>24</v>
      </c>
      <c r="H214" s="4">
        <f>IF(G214&gt;=60, "Boomer", IF(G214&gt;=45, "Gen X", IF(G214&gt;=25, "Millennial", "Gen Z")))</f>
        <v/>
      </c>
      <c r="I214" s="4" t="inlineStr">
        <is>
          <t>Checking</t>
        </is>
      </c>
      <c r="J214" s="4" t="inlineStr">
        <is>
          <t>Utilities</t>
        </is>
      </c>
      <c r="K214" s="6" t="n">
        <v>7996.76</v>
      </c>
      <c r="L214" s="6" t="n">
        <v>36084.05</v>
      </c>
      <c r="M214" s="4" t="inlineStr">
        <is>
          <t>ATM</t>
        </is>
      </c>
      <c r="N214" s="4" t="inlineStr">
        <is>
          <t>Y</t>
        </is>
      </c>
      <c r="O214" s="4">
        <f>TEXT(D214, "dddd")</f>
        <v/>
      </c>
      <c r="P214" s="4">
        <f>"Q"&amp;ROUNDUP(MONTH(D214)/3, 0)</f>
        <v/>
      </c>
    </row>
    <row r="215">
      <c r="A215" s="7" t="inlineStr">
        <is>
          <t>TXN100218</t>
        </is>
      </c>
      <c r="B215" s="7" t="inlineStr">
        <is>
          <t>CUST0218</t>
        </is>
      </c>
      <c r="C215" s="7" t="inlineStr">
        <is>
          <t>2026-06-01 18:04:00</t>
        </is>
      </c>
      <c r="D215" s="7">
        <f>TEXT(LEFT(C215,10),"YYYY-MM-DD")</f>
        <v/>
      </c>
      <c r="E215" s="8">
        <f>HOUR(C215)</f>
        <v/>
      </c>
      <c r="F215" s="7" t="inlineStr">
        <is>
          <t>Male</t>
        </is>
      </c>
      <c r="G215" s="8" t="n">
        <v>40</v>
      </c>
      <c r="H215" s="7">
        <f>IF(G215&gt;=60, "Boomer", IF(G215&gt;=45, "Gen X", IF(G215&gt;=25, "Millennial", "Gen Z")))</f>
        <v/>
      </c>
      <c r="I215" s="7" t="inlineStr">
        <is>
          <t>Investment</t>
        </is>
      </c>
      <c r="J215" s="7" t="inlineStr">
        <is>
          <t>Groceries</t>
        </is>
      </c>
      <c r="K215" s="9" t="n">
        <v>3605.3</v>
      </c>
      <c r="L215" s="9" t="n">
        <v>34165.4</v>
      </c>
      <c r="M215" s="7" t="inlineStr">
        <is>
          <t>Branch Office</t>
        </is>
      </c>
      <c r="N215" s="7" t="inlineStr">
        <is>
          <t>N</t>
        </is>
      </c>
      <c r="O215" s="7">
        <f>TEXT(D215, "dddd")</f>
        <v/>
      </c>
      <c r="P215" s="7">
        <f>"Q"&amp;ROUNDUP(MONTH(D215)/3, 0)</f>
        <v/>
      </c>
    </row>
    <row r="216">
      <c r="A216" s="4" t="inlineStr">
        <is>
          <t>TXN100219</t>
        </is>
      </c>
      <c r="B216" s="4" t="inlineStr">
        <is>
          <t>CUST0219</t>
        </is>
      </c>
      <c r="C216" s="4" t="inlineStr">
        <is>
          <t>2026-06-01 04:56:00</t>
        </is>
      </c>
      <c r="D216" s="4">
        <f>TEXT(LEFT(C216,10),"YYYY-MM-DD")</f>
        <v/>
      </c>
      <c r="E216" s="5">
        <f>HOUR(C216)</f>
        <v/>
      </c>
      <c r="F216" s="4" t="inlineStr">
        <is>
          <t>Male</t>
        </is>
      </c>
      <c r="G216" s="5" t="n">
        <v>69</v>
      </c>
      <c r="H216" s="4">
        <f>IF(G216&gt;=60, "Boomer", IF(G216&gt;=45, "Gen X", IF(G216&gt;=25, "Millennial", "Gen Z")))</f>
        <v/>
      </c>
      <c r="I216" s="4" t="inlineStr">
        <is>
          <t>Savings</t>
        </is>
      </c>
      <c r="J216" s="4" t="inlineStr">
        <is>
          <t>Utilities</t>
        </is>
      </c>
      <c r="K216" s="6" t="n">
        <v>4027.88</v>
      </c>
      <c r="L216" s="6" t="n">
        <v>43476.48</v>
      </c>
      <c r="M216" s="4" t="inlineStr">
        <is>
          <t>Mobile App</t>
        </is>
      </c>
      <c r="N216" s="4" t="inlineStr">
        <is>
          <t>N</t>
        </is>
      </c>
      <c r="O216" s="4">
        <f>TEXT(D216, "dddd")</f>
        <v/>
      </c>
      <c r="P216" s="4">
        <f>"Q"&amp;ROUNDUP(MONTH(D216)/3, 0)</f>
        <v/>
      </c>
    </row>
    <row r="217">
      <c r="A217" s="7" t="inlineStr">
        <is>
          <t>TXN100220</t>
        </is>
      </c>
      <c r="B217" s="7" t="inlineStr">
        <is>
          <t>CUST0220</t>
        </is>
      </c>
      <c r="C217" s="7" t="inlineStr">
        <is>
          <t>2026-06-01 16:09:00</t>
        </is>
      </c>
      <c r="D217" s="7">
        <f>TEXT(LEFT(C217,10),"YYYY-MM-DD")</f>
        <v/>
      </c>
      <c r="E217" s="8">
        <f>HOUR(C217)</f>
        <v/>
      </c>
      <c r="F217" s="7" t="inlineStr">
        <is>
          <t>Female</t>
        </is>
      </c>
      <c r="G217" s="8" t="n">
        <v>30</v>
      </c>
      <c r="H217" s="7">
        <f>IF(G217&gt;=60, "Boomer", IF(G217&gt;=45, "Gen X", IF(G217&gt;=25, "Millennial", "Gen Z")))</f>
        <v/>
      </c>
      <c r="I217" s="7" t="inlineStr">
        <is>
          <t>Savings</t>
        </is>
      </c>
      <c r="J217" s="7" t="inlineStr">
        <is>
          <t>Entertainment</t>
        </is>
      </c>
      <c r="K217" s="9" t="n">
        <v>7478.56</v>
      </c>
      <c r="L217" s="9" t="n">
        <v>11660.78</v>
      </c>
      <c r="M217" s="7" t="inlineStr">
        <is>
          <t>Branch Office</t>
        </is>
      </c>
      <c r="N217" s="7" t="inlineStr">
        <is>
          <t>Y</t>
        </is>
      </c>
      <c r="O217" s="7">
        <f>TEXT(D217, "dddd")</f>
        <v/>
      </c>
      <c r="P217" s="7">
        <f>"Q"&amp;ROUNDUP(MONTH(D217)/3, 0)</f>
        <v/>
      </c>
    </row>
    <row r="218">
      <c r="A218" s="4" t="inlineStr">
        <is>
          <t>TXN100221</t>
        </is>
      </c>
      <c r="B218" s="4" t="inlineStr">
        <is>
          <t>CUST0221</t>
        </is>
      </c>
      <c r="C218" s="4" t="inlineStr">
        <is>
          <t>2026-06-01 08:12:00</t>
        </is>
      </c>
      <c r="D218" s="4">
        <f>TEXT(LEFT(C218,10),"YYYY-MM-DD")</f>
        <v/>
      </c>
      <c r="E218" s="5">
        <f>HOUR(C218)</f>
        <v/>
      </c>
      <c r="F218" s="4" t="inlineStr">
        <is>
          <t>Female</t>
        </is>
      </c>
      <c r="G218" s="5" t="n">
        <v>28</v>
      </c>
      <c r="H218" s="4">
        <f>IF(G218&gt;=60, "Boomer", IF(G218&gt;=45, "Gen X", IF(G218&gt;=25, "Millennial", "Gen Z")))</f>
        <v/>
      </c>
      <c r="I218" s="4" t="inlineStr">
        <is>
          <t>Investment</t>
        </is>
      </c>
      <c r="J218" s="4" t="inlineStr">
        <is>
          <t>Entertainment</t>
        </is>
      </c>
      <c r="K218" s="6" t="n">
        <v>4919.28</v>
      </c>
      <c r="L218" s="6" t="n">
        <v>5124.71</v>
      </c>
      <c r="M218" s="4" t="inlineStr">
        <is>
          <t>Online Banking</t>
        </is>
      </c>
      <c r="N218" s="4" t="inlineStr">
        <is>
          <t>N</t>
        </is>
      </c>
      <c r="O218" s="4">
        <f>TEXT(D218, "dddd")</f>
        <v/>
      </c>
      <c r="P218" s="4">
        <f>"Q"&amp;ROUNDUP(MONTH(D218)/3, 0)</f>
        <v/>
      </c>
    </row>
    <row r="219">
      <c r="A219" s="7" t="inlineStr">
        <is>
          <t>TXN100222</t>
        </is>
      </c>
      <c r="B219" s="7" t="inlineStr">
        <is>
          <t>CUST0222</t>
        </is>
      </c>
      <c r="C219" s="7" t="inlineStr">
        <is>
          <t>2026-06-01 18:37:00</t>
        </is>
      </c>
      <c r="D219" s="7">
        <f>TEXT(LEFT(C219,10),"YYYY-MM-DD")</f>
        <v/>
      </c>
      <c r="E219" s="8">
        <f>HOUR(C219)</f>
        <v/>
      </c>
      <c r="F219" s="7" t="inlineStr">
        <is>
          <t>Male</t>
        </is>
      </c>
      <c r="G219" s="8" t="n">
        <v>30</v>
      </c>
      <c r="H219" s="7">
        <f>IF(G219&gt;=60, "Boomer", IF(G219&gt;=45, "Gen X", IF(G219&gt;=25, "Millennial", "Gen Z")))</f>
        <v/>
      </c>
      <c r="I219" s="7" t="inlineStr">
        <is>
          <t>Investment</t>
        </is>
      </c>
      <c r="J219" s="7" t="inlineStr">
        <is>
          <t>Travel</t>
        </is>
      </c>
      <c r="K219" s="9" t="n">
        <v>5767.86</v>
      </c>
      <c r="L219" s="9" t="n">
        <v>30454.38</v>
      </c>
      <c r="M219" s="7" t="inlineStr">
        <is>
          <t>Mobile App</t>
        </is>
      </c>
      <c r="N219" s="7" t="inlineStr">
        <is>
          <t>N</t>
        </is>
      </c>
      <c r="O219" s="7">
        <f>TEXT(D219, "dddd")</f>
        <v/>
      </c>
      <c r="P219" s="7">
        <f>"Q"&amp;ROUNDUP(MONTH(D219)/3, 0)</f>
        <v/>
      </c>
    </row>
    <row r="220">
      <c r="A220" s="4" t="inlineStr">
        <is>
          <t>TXN100223</t>
        </is>
      </c>
      <c r="B220" s="4" t="inlineStr">
        <is>
          <t>CUST0223</t>
        </is>
      </c>
      <c r="C220" s="4" t="inlineStr">
        <is>
          <t>2026-06-01 00:05:00</t>
        </is>
      </c>
      <c r="D220" s="4">
        <f>TEXT(LEFT(C220,10),"YYYY-MM-DD")</f>
        <v/>
      </c>
      <c r="E220" s="5">
        <f>HOUR(C220)</f>
        <v/>
      </c>
      <c r="F220" s="4" t="inlineStr">
        <is>
          <t>Male</t>
        </is>
      </c>
      <c r="G220" s="5" t="n">
        <v>61</v>
      </c>
      <c r="H220" s="4">
        <f>IF(G220&gt;=60, "Boomer", IF(G220&gt;=45, "Gen X", IF(G220&gt;=25, "Millennial", "Gen Z")))</f>
        <v/>
      </c>
      <c r="I220" s="4" t="inlineStr">
        <is>
          <t>Investment</t>
        </is>
      </c>
      <c r="J220" s="4" t="inlineStr">
        <is>
          <t>Entertainment</t>
        </is>
      </c>
      <c r="K220" s="6" t="n">
        <v>5212.53</v>
      </c>
      <c r="L220" s="6" t="n">
        <v>38464.47</v>
      </c>
      <c r="M220" s="4" t="inlineStr">
        <is>
          <t>ATM</t>
        </is>
      </c>
      <c r="N220" s="4" t="inlineStr">
        <is>
          <t>N</t>
        </is>
      </c>
      <c r="O220" s="4">
        <f>TEXT(D220, "dddd")</f>
        <v/>
      </c>
      <c r="P220" s="4">
        <f>"Q"&amp;ROUNDUP(MONTH(D220)/3, 0)</f>
        <v/>
      </c>
    </row>
    <row r="221">
      <c r="A221" s="7" t="inlineStr">
        <is>
          <t>TXN100224</t>
        </is>
      </c>
      <c r="B221" s="7" t="inlineStr">
        <is>
          <t>CUST0224</t>
        </is>
      </c>
      <c r="C221" s="7" t="inlineStr">
        <is>
          <t>2026-06-01 19:40:00</t>
        </is>
      </c>
      <c r="D221" s="7">
        <f>TEXT(LEFT(C221,10),"YYYY-MM-DD")</f>
        <v/>
      </c>
      <c r="E221" s="8">
        <f>HOUR(C221)</f>
        <v/>
      </c>
      <c r="F221" s="7" t="inlineStr">
        <is>
          <t>Male</t>
        </is>
      </c>
      <c r="G221" s="8" t="n">
        <v>51</v>
      </c>
      <c r="H221" s="7">
        <f>IF(G221&gt;=60, "Boomer", IF(G221&gt;=45, "Gen X", IF(G221&gt;=25, "Millennial", "Gen Z")))</f>
        <v/>
      </c>
      <c r="I221" s="7" t="inlineStr">
        <is>
          <t>Investment</t>
        </is>
      </c>
      <c r="J221" s="7" t="inlineStr">
        <is>
          <t>Travel</t>
        </is>
      </c>
      <c r="K221" s="9" t="n">
        <v>2324.48</v>
      </c>
      <c r="L221" s="9" t="n">
        <v>47854.18</v>
      </c>
      <c r="M221" s="7" t="inlineStr">
        <is>
          <t>ATM</t>
        </is>
      </c>
      <c r="N221" s="7" t="inlineStr">
        <is>
          <t>N</t>
        </is>
      </c>
      <c r="O221" s="7">
        <f>TEXT(D221, "dddd")</f>
        <v/>
      </c>
      <c r="P221" s="7">
        <f>"Q"&amp;ROUNDUP(MONTH(D221)/3, 0)</f>
        <v/>
      </c>
    </row>
    <row r="222">
      <c r="A222" s="4" t="inlineStr">
        <is>
          <t>TXN100225</t>
        </is>
      </c>
      <c r="B222" s="4" t="inlineStr">
        <is>
          <t>CUST0225</t>
        </is>
      </c>
      <c r="C222" s="4" t="inlineStr">
        <is>
          <t>2026-06-01 07:51:00</t>
        </is>
      </c>
      <c r="D222" s="4">
        <f>TEXT(LEFT(C222,10),"YYYY-MM-DD")</f>
        <v/>
      </c>
      <c r="E222" s="5">
        <f>HOUR(C222)</f>
        <v/>
      </c>
      <c r="F222" s="4" t="inlineStr">
        <is>
          <t>Unspecified</t>
        </is>
      </c>
      <c r="G222" s="5" t="n">
        <v>39</v>
      </c>
      <c r="H222" s="4">
        <f>IF(G222&gt;=60, "Boomer", IF(G222&gt;=45, "Gen X", IF(G222&gt;=25, "Millennial", "Gen Z")))</f>
        <v/>
      </c>
      <c r="I222" s="4" t="inlineStr">
        <is>
          <t>Checking</t>
        </is>
      </c>
      <c r="J222" s="4" t="inlineStr">
        <is>
          <t>Groceries</t>
        </is>
      </c>
      <c r="K222" s="6" t="n">
        <v>5512.02</v>
      </c>
      <c r="L222" s="6" t="n">
        <v>8324.98</v>
      </c>
      <c r="M222" s="4" t="inlineStr">
        <is>
          <t>ATM</t>
        </is>
      </c>
      <c r="N222" s="4" t="inlineStr">
        <is>
          <t>N</t>
        </is>
      </c>
      <c r="O222" s="4">
        <f>TEXT(D222, "dddd")</f>
        <v/>
      </c>
      <c r="P222" s="4">
        <f>"Q"&amp;ROUNDUP(MONTH(D222)/3, 0)</f>
        <v/>
      </c>
    </row>
    <row r="223">
      <c r="A223" s="7" t="inlineStr">
        <is>
          <t>TXN100226</t>
        </is>
      </c>
      <c r="B223" s="7" t="inlineStr">
        <is>
          <t>CUST0226</t>
        </is>
      </c>
      <c r="C223" s="7" t="inlineStr">
        <is>
          <t>2026-06-01 15:29:00</t>
        </is>
      </c>
      <c r="D223" s="7">
        <f>TEXT(LEFT(C223,10),"YYYY-MM-DD")</f>
        <v/>
      </c>
      <c r="E223" s="8">
        <f>HOUR(C223)</f>
        <v/>
      </c>
      <c r="F223" s="7" t="inlineStr">
        <is>
          <t>Female</t>
        </is>
      </c>
      <c r="G223" s="8" t="n">
        <v>41</v>
      </c>
      <c r="H223" s="7">
        <f>IF(G223&gt;=60, "Boomer", IF(G223&gt;=45, "Gen X", IF(G223&gt;=25, "Millennial", "Gen Z")))</f>
        <v/>
      </c>
      <c r="I223" s="7" t="inlineStr">
        <is>
          <t>Investment</t>
        </is>
      </c>
      <c r="J223" s="7" t="inlineStr">
        <is>
          <t>Groceries</t>
        </is>
      </c>
      <c r="K223" s="9" t="n">
        <v>2507.53</v>
      </c>
      <c r="L223" s="9" t="n">
        <v>36058.96</v>
      </c>
      <c r="M223" s="7" t="inlineStr">
        <is>
          <t>Branch Office</t>
        </is>
      </c>
      <c r="N223" s="7" t="inlineStr">
        <is>
          <t>N</t>
        </is>
      </c>
      <c r="O223" s="7">
        <f>TEXT(D223, "dddd")</f>
        <v/>
      </c>
      <c r="P223" s="7">
        <f>"Q"&amp;ROUNDUP(MONTH(D223)/3, 0)</f>
        <v/>
      </c>
    </row>
    <row r="224">
      <c r="A224" s="4" t="inlineStr">
        <is>
          <t>TXN100227</t>
        </is>
      </c>
      <c r="B224" s="4" t="inlineStr">
        <is>
          <t>CUST0227</t>
        </is>
      </c>
      <c r="C224" s="4" t="inlineStr">
        <is>
          <t>2026-06-01 12:08:00</t>
        </is>
      </c>
      <c r="D224" s="4">
        <f>TEXT(LEFT(C224,10),"YYYY-MM-DD")</f>
        <v/>
      </c>
      <c r="E224" s="5">
        <f>HOUR(C224)</f>
        <v/>
      </c>
      <c r="F224" s="4" t="inlineStr">
        <is>
          <t>Female</t>
        </is>
      </c>
      <c r="G224" s="5" t="n">
        <v>52</v>
      </c>
      <c r="H224" s="4">
        <f>IF(G224&gt;=60, "Boomer", IF(G224&gt;=45, "Gen X", IF(G224&gt;=25, "Millennial", "Gen Z")))</f>
        <v/>
      </c>
      <c r="I224" s="4" t="inlineStr">
        <is>
          <t>Investment</t>
        </is>
      </c>
      <c r="J224" s="4" t="inlineStr">
        <is>
          <t>Groceries</t>
        </is>
      </c>
      <c r="K224" s="6" t="n">
        <v>2559.74</v>
      </c>
      <c r="L224" s="6" t="n">
        <v>23590.39</v>
      </c>
      <c r="M224" s="4" t="inlineStr">
        <is>
          <t>Branch Office</t>
        </is>
      </c>
      <c r="N224" s="4" t="inlineStr">
        <is>
          <t>N</t>
        </is>
      </c>
      <c r="O224" s="4">
        <f>TEXT(D224, "dddd")</f>
        <v/>
      </c>
      <c r="P224" s="4">
        <f>"Q"&amp;ROUNDUP(MONTH(D224)/3, 0)</f>
        <v/>
      </c>
    </row>
    <row r="225">
      <c r="A225" s="7" t="inlineStr">
        <is>
          <t>TXN100228</t>
        </is>
      </c>
      <c r="B225" s="7" t="inlineStr">
        <is>
          <t>CUST0228</t>
        </is>
      </c>
      <c r="C225" s="7" t="inlineStr">
        <is>
          <t>2026-06-01 14:15:00</t>
        </is>
      </c>
      <c r="D225" s="7">
        <f>TEXT(LEFT(C225,10),"YYYY-MM-DD")</f>
        <v/>
      </c>
      <c r="E225" s="8">
        <f>HOUR(C225)</f>
        <v/>
      </c>
      <c r="F225" s="7" t="inlineStr">
        <is>
          <t>Male</t>
        </is>
      </c>
      <c r="G225" s="8" t="n">
        <v>26</v>
      </c>
      <c r="H225" s="7">
        <f>IF(G225&gt;=60, "Boomer", IF(G225&gt;=45, "Gen X", IF(G225&gt;=25, "Millennial", "Gen Z")))</f>
        <v/>
      </c>
      <c r="I225" s="7" t="inlineStr">
        <is>
          <t>Savings</t>
        </is>
      </c>
      <c r="J225" s="7" t="inlineStr">
        <is>
          <t>Entertainment</t>
        </is>
      </c>
      <c r="K225" s="9" t="n">
        <v>7563.63</v>
      </c>
      <c r="L225" s="9" t="n">
        <v>43276.11</v>
      </c>
      <c r="M225" s="7" t="inlineStr">
        <is>
          <t>ATM</t>
        </is>
      </c>
      <c r="N225" s="7" t="inlineStr">
        <is>
          <t>N</t>
        </is>
      </c>
      <c r="O225" s="7">
        <f>TEXT(D225, "dddd")</f>
        <v/>
      </c>
      <c r="P225" s="7">
        <f>"Q"&amp;ROUNDUP(MONTH(D225)/3, 0)</f>
        <v/>
      </c>
    </row>
    <row r="226">
      <c r="A226" s="4" t="inlineStr">
        <is>
          <t>TXN100229</t>
        </is>
      </c>
      <c r="B226" s="4" t="inlineStr">
        <is>
          <t>CUST0229</t>
        </is>
      </c>
      <c r="C226" s="4" t="inlineStr">
        <is>
          <t>2026-06-01 05:52:00</t>
        </is>
      </c>
      <c r="D226" s="4">
        <f>TEXT(LEFT(C226,10),"YYYY-MM-DD")</f>
        <v/>
      </c>
      <c r="E226" s="5">
        <f>HOUR(C226)</f>
        <v/>
      </c>
      <c r="F226" s="4" t="inlineStr">
        <is>
          <t>Female</t>
        </is>
      </c>
      <c r="G226" s="5" t="n">
        <v>56</v>
      </c>
      <c r="H226" s="4">
        <f>IF(G226&gt;=60, "Boomer", IF(G226&gt;=45, "Gen X", IF(G226&gt;=25, "Millennial", "Gen Z")))</f>
        <v/>
      </c>
      <c r="I226" s="4" t="inlineStr">
        <is>
          <t>Investment</t>
        </is>
      </c>
      <c r="J226" s="4" t="inlineStr">
        <is>
          <t>Entertainment</t>
        </is>
      </c>
      <c r="K226" s="6" t="n">
        <v>1526.77</v>
      </c>
      <c r="L226" s="6" t="n">
        <v>8387.450000000001</v>
      </c>
      <c r="M226" s="4" t="inlineStr">
        <is>
          <t>ATM</t>
        </is>
      </c>
      <c r="N226" s="4" t="inlineStr">
        <is>
          <t>N</t>
        </is>
      </c>
      <c r="O226" s="4">
        <f>TEXT(D226, "dddd")</f>
        <v/>
      </c>
      <c r="P226" s="4">
        <f>"Q"&amp;ROUNDUP(MONTH(D226)/3, 0)</f>
        <v/>
      </c>
    </row>
    <row r="227">
      <c r="A227" s="7" t="inlineStr">
        <is>
          <t>TXN100230</t>
        </is>
      </c>
      <c r="B227" s="7" t="inlineStr">
        <is>
          <t>CUST0230</t>
        </is>
      </c>
      <c r="C227" s="7" t="inlineStr">
        <is>
          <t>2026-06-01 15:56:00</t>
        </is>
      </c>
      <c r="D227" s="7">
        <f>TEXT(LEFT(C227,10),"YYYY-MM-DD")</f>
        <v/>
      </c>
      <c r="E227" s="8">
        <f>HOUR(C227)</f>
        <v/>
      </c>
      <c r="F227" s="7" t="inlineStr">
        <is>
          <t>Female</t>
        </is>
      </c>
      <c r="G227" s="8" t="n">
        <v>51</v>
      </c>
      <c r="H227" s="7">
        <f>IF(G227&gt;=60, "Boomer", IF(G227&gt;=45, "Gen X", IF(G227&gt;=25, "Millennial", "Gen Z")))</f>
        <v/>
      </c>
      <c r="I227" s="7" t="inlineStr">
        <is>
          <t>Savings</t>
        </is>
      </c>
      <c r="J227" s="7" t="inlineStr">
        <is>
          <t>Groceries</t>
        </is>
      </c>
      <c r="K227" s="9" t="n">
        <v>7562.41</v>
      </c>
      <c r="L227" s="9" t="n">
        <v>25519.5</v>
      </c>
      <c r="M227" s="7" t="inlineStr">
        <is>
          <t>Online Banking</t>
        </is>
      </c>
      <c r="N227" s="7" t="inlineStr">
        <is>
          <t>N</t>
        </is>
      </c>
      <c r="O227" s="7">
        <f>TEXT(D227, "dddd")</f>
        <v/>
      </c>
      <c r="P227" s="7">
        <f>"Q"&amp;ROUNDUP(MONTH(D227)/3, 0)</f>
        <v/>
      </c>
    </row>
    <row r="228">
      <c r="A228" s="4" t="inlineStr">
        <is>
          <t>TXN100231</t>
        </is>
      </c>
      <c r="B228" s="4" t="inlineStr">
        <is>
          <t>CUST0231</t>
        </is>
      </c>
      <c r="C228" s="4" t="inlineStr">
        <is>
          <t>2026-06-01 11:03:00</t>
        </is>
      </c>
      <c r="D228" s="4">
        <f>TEXT(LEFT(C228,10),"YYYY-MM-DD")</f>
        <v/>
      </c>
      <c r="E228" s="5">
        <f>HOUR(C228)</f>
        <v/>
      </c>
      <c r="F228" s="4" t="inlineStr">
        <is>
          <t>Male</t>
        </is>
      </c>
      <c r="G228" s="5" t="n">
        <v>38</v>
      </c>
      <c r="H228" s="4">
        <f>IF(G228&gt;=60, "Boomer", IF(G228&gt;=45, "Gen X", IF(G228&gt;=25, "Millennial", "Gen Z")))</f>
        <v/>
      </c>
      <c r="I228" s="4" t="inlineStr">
        <is>
          <t>Checking</t>
        </is>
      </c>
      <c r="J228" s="4" t="inlineStr">
        <is>
          <t>Travel</t>
        </is>
      </c>
      <c r="K228" s="6" t="n">
        <v>7059.89</v>
      </c>
      <c r="L228" s="6" t="n">
        <v>32885.87</v>
      </c>
      <c r="M228" s="4" t="inlineStr">
        <is>
          <t>ATM</t>
        </is>
      </c>
      <c r="N228" s="4" t="inlineStr">
        <is>
          <t>N</t>
        </is>
      </c>
      <c r="O228" s="4">
        <f>TEXT(D228, "dddd")</f>
        <v/>
      </c>
      <c r="P228" s="4">
        <f>"Q"&amp;ROUNDUP(MONTH(D228)/3, 0)</f>
        <v/>
      </c>
    </row>
    <row r="229">
      <c r="A229" s="7" t="inlineStr">
        <is>
          <t>TXN100232</t>
        </is>
      </c>
      <c r="B229" s="7" t="inlineStr">
        <is>
          <t>CUST0232</t>
        </is>
      </c>
      <c r="C229" s="7" t="inlineStr">
        <is>
          <t>2026-06-01 00:54:00</t>
        </is>
      </c>
      <c r="D229" s="7">
        <f>TEXT(LEFT(C229,10),"YYYY-MM-DD")</f>
        <v/>
      </c>
      <c r="E229" s="8">
        <f>HOUR(C229)</f>
        <v/>
      </c>
      <c r="F229" s="7" t="inlineStr">
        <is>
          <t>Male</t>
        </is>
      </c>
      <c r="G229" s="8" t="n">
        <v>47</v>
      </c>
      <c r="H229" s="7">
        <f>IF(G229&gt;=60, "Boomer", IF(G229&gt;=45, "Gen X", IF(G229&gt;=25, "Millennial", "Gen Z")))</f>
        <v/>
      </c>
      <c r="I229" s="7" t="inlineStr">
        <is>
          <t>Savings</t>
        </is>
      </c>
      <c r="J229" s="7" t="inlineStr">
        <is>
          <t>Entertainment</t>
        </is>
      </c>
      <c r="K229" s="9" t="n">
        <v>5822.79</v>
      </c>
      <c r="L229" s="9" t="n">
        <v>38310.91</v>
      </c>
      <c r="M229" s="7" t="inlineStr">
        <is>
          <t>Branch Office</t>
        </is>
      </c>
      <c r="N229" s="7" t="inlineStr">
        <is>
          <t>N</t>
        </is>
      </c>
      <c r="O229" s="7">
        <f>TEXT(D229, "dddd")</f>
        <v/>
      </c>
      <c r="P229" s="7">
        <f>"Q"&amp;ROUNDUP(MONTH(D229)/3, 0)</f>
        <v/>
      </c>
    </row>
    <row r="230">
      <c r="A230" s="4" t="inlineStr">
        <is>
          <t>TXN100233</t>
        </is>
      </c>
      <c r="B230" s="4" t="inlineStr">
        <is>
          <t>CUST0233</t>
        </is>
      </c>
      <c r="C230" s="4" t="inlineStr">
        <is>
          <t>2026-06-01 01:25:00</t>
        </is>
      </c>
      <c r="D230" s="4">
        <f>TEXT(LEFT(C230,10),"YYYY-MM-DD")</f>
        <v/>
      </c>
      <c r="E230" s="5">
        <f>HOUR(C230)</f>
        <v/>
      </c>
      <c r="F230" s="4" t="inlineStr">
        <is>
          <t>Male</t>
        </is>
      </c>
      <c r="G230" s="5" t="n">
        <v>56</v>
      </c>
      <c r="H230" s="4">
        <f>IF(G230&gt;=60, "Boomer", IF(G230&gt;=45, "Gen X", IF(G230&gt;=25, "Millennial", "Gen Z")))</f>
        <v/>
      </c>
      <c r="I230" s="4" t="inlineStr">
        <is>
          <t>Investment</t>
        </is>
      </c>
      <c r="J230" s="4" t="inlineStr">
        <is>
          <t>Groceries</t>
        </is>
      </c>
      <c r="K230" s="6" t="n">
        <v>2906.56</v>
      </c>
      <c r="L230" s="6" t="n">
        <v>14785.78</v>
      </c>
      <c r="M230" s="4" t="inlineStr">
        <is>
          <t>ATM</t>
        </is>
      </c>
      <c r="N230" s="4" t="inlineStr">
        <is>
          <t>N</t>
        </is>
      </c>
      <c r="O230" s="4">
        <f>TEXT(D230, "dddd")</f>
        <v/>
      </c>
      <c r="P230" s="4">
        <f>"Q"&amp;ROUNDUP(MONTH(D230)/3, 0)</f>
        <v/>
      </c>
    </row>
    <row r="231">
      <c r="A231" s="7" t="inlineStr">
        <is>
          <t>TXN100234</t>
        </is>
      </c>
      <c r="B231" s="7" t="inlineStr">
        <is>
          <t>CUST0234</t>
        </is>
      </c>
      <c r="C231" s="7" t="inlineStr">
        <is>
          <t>2026-06-01 16:28:00</t>
        </is>
      </c>
      <c r="D231" s="7">
        <f>TEXT(LEFT(C231,10),"YYYY-MM-DD")</f>
        <v/>
      </c>
      <c r="E231" s="8">
        <f>HOUR(C231)</f>
        <v/>
      </c>
      <c r="F231" s="7" t="inlineStr">
        <is>
          <t>Female</t>
        </is>
      </c>
      <c r="G231" s="8" t="n">
        <v>72</v>
      </c>
      <c r="H231" s="7">
        <f>IF(G231&gt;=60, "Boomer", IF(G231&gt;=45, "Gen X", IF(G231&gt;=25, "Millennial", "Gen Z")))</f>
        <v/>
      </c>
      <c r="I231" s="7" t="inlineStr">
        <is>
          <t>Investment</t>
        </is>
      </c>
      <c r="J231" s="7" t="inlineStr">
        <is>
          <t>Travel</t>
        </is>
      </c>
      <c r="K231" s="9" t="n">
        <v>959.3</v>
      </c>
      <c r="L231" s="9" t="n">
        <v>48766.6</v>
      </c>
      <c r="M231" s="7" t="inlineStr">
        <is>
          <t>ATM</t>
        </is>
      </c>
      <c r="N231" s="7" t="inlineStr">
        <is>
          <t>N</t>
        </is>
      </c>
      <c r="O231" s="7">
        <f>TEXT(D231, "dddd")</f>
        <v/>
      </c>
      <c r="P231" s="7">
        <f>"Q"&amp;ROUNDUP(MONTH(D231)/3, 0)</f>
        <v/>
      </c>
    </row>
    <row r="232">
      <c r="A232" s="4" t="inlineStr">
        <is>
          <t>TXN100235</t>
        </is>
      </c>
      <c r="B232" s="4" t="inlineStr">
        <is>
          <t>CUST0235</t>
        </is>
      </c>
      <c r="C232" s="4" t="inlineStr">
        <is>
          <t>2026-06-01 11:50:00</t>
        </is>
      </c>
      <c r="D232" s="4">
        <f>TEXT(LEFT(C232,10),"YYYY-MM-DD")</f>
        <v/>
      </c>
      <c r="E232" s="5">
        <f>HOUR(C232)</f>
        <v/>
      </c>
      <c r="F232" s="4" t="inlineStr">
        <is>
          <t>Female</t>
        </is>
      </c>
      <c r="G232" s="5" t="n">
        <v>55</v>
      </c>
      <c r="H232" s="4">
        <f>IF(G232&gt;=60, "Boomer", IF(G232&gt;=45, "Gen X", IF(G232&gt;=25, "Millennial", "Gen Z")))</f>
        <v/>
      </c>
      <c r="I232" s="4" t="inlineStr">
        <is>
          <t>Checking</t>
        </is>
      </c>
      <c r="J232" s="4" t="inlineStr">
        <is>
          <t>Groceries</t>
        </is>
      </c>
      <c r="K232" s="6" t="n">
        <v>1600.47</v>
      </c>
      <c r="L232" s="6" t="n">
        <v>25701.56</v>
      </c>
      <c r="M232" s="4" t="inlineStr">
        <is>
          <t>Mobile App</t>
        </is>
      </c>
      <c r="N232" s="4" t="inlineStr">
        <is>
          <t>N</t>
        </is>
      </c>
      <c r="O232" s="4">
        <f>TEXT(D232, "dddd")</f>
        <v/>
      </c>
      <c r="P232" s="4">
        <f>"Q"&amp;ROUNDUP(MONTH(D232)/3, 0)</f>
        <v/>
      </c>
    </row>
    <row r="233">
      <c r="A233" s="7" t="inlineStr">
        <is>
          <t>TXN100236</t>
        </is>
      </c>
      <c r="B233" s="7" t="inlineStr">
        <is>
          <t>CUST0236</t>
        </is>
      </c>
      <c r="C233" s="7" t="inlineStr">
        <is>
          <t>2026-06-01 01:02:00</t>
        </is>
      </c>
      <c r="D233" s="7">
        <f>TEXT(LEFT(C233,10),"YYYY-MM-DD")</f>
        <v/>
      </c>
      <c r="E233" s="8">
        <f>HOUR(C233)</f>
        <v/>
      </c>
      <c r="F233" s="7" t="inlineStr">
        <is>
          <t>Male</t>
        </is>
      </c>
      <c r="G233" s="8" t="n">
        <v>65</v>
      </c>
      <c r="H233" s="7">
        <f>IF(G233&gt;=60, "Boomer", IF(G233&gt;=45, "Gen X", IF(G233&gt;=25, "Millennial", "Gen Z")))</f>
        <v/>
      </c>
      <c r="I233" s="7" t="inlineStr">
        <is>
          <t>Checking</t>
        </is>
      </c>
      <c r="J233" s="7" t="inlineStr">
        <is>
          <t>Utilities</t>
        </is>
      </c>
      <c r="K233" s="9" t="n">
        <v>4159.47</v>
      </c>
      <c r="L233" s="9" t="n">
        <v>7872.56</v>
      </c>
      <c r="M233" s="7" t="inlineStr">
        <is>
          <t>Online Banking</t>
        </is>
      </c>
      <c r="N233" s="7" t="inlineStr">
        <is>
          <t>N</t>
        </is>
      </c>
      <c r="O233" s="7">
        <f>TEXT(D233, "dddd")</f>
        <v/>
      </c>
      <c r="P233" s="7">
        <f>"Q"&amp;ROUNDUP(MONTH(D233)/3, 0)</f>
        <v/>
      </c>
    </row>
    <row r="234">
      <c r="A234" s="4" t="inlineStr">
        <is>
          <t>TXN100237</t>
        </is>
      </c>
      <c r="B234" s="4" t="inlineStr">
        <is>
          <t>CUST0237</t>
        </is>
      </c>
      <c r="C234" s="4" t="inlineStr">
        <is>
          <t>2026-06-01 10:59:00</t>
        </is>
      </c>
      <c r="D234" s="4">
        <f>TEXT(LEFT(C234,10),"YYYY-MM-DD")</f>
        <v/>
      </c>
      <c r="E234" s="5">
        <f>HOUR(C234)</f>
        <v/>
      </c>
      <c r="F234" s="4" t="inlineStr">
        <is>
          <t>Female</t>
        </is>
      </c>
      <c r="G234" s="5" t="n">
        <v>30</v>
      </c>
      <c r="H234" s="4">
        <f>IF(G234&gt;=60, "Boomer", IF(G234&gt;=45, "Gen X", IF(G234&gt;=25, "Millennial", "Gen Z")))</f>
        <v/>
      </c>
      <c r="I234" s="4" t="inlineStr">
        <is>
          <t>Checking</t>
        </is>
      </c>
      <c r="J234" s="4" t="inlineStr">
        <is>
          <t>Travel</t>
        </is>
      </c>
      <c r="K234" s="6" t="n">
        <v>5917.16</v>
      </c>
      <c r="L234" s="6" t="n">
        <v>15312.1</v>
      </c>
      <c r="M234" s="4" t="inlineStr">
        <is>
          <t>Branch Office</t>
        </is>
      </c>
      <c r="N234" s="4" t="inlineStr">
        <is>
          <t>N</t>
        </is>
      </c>
      <c r="O234" s="4">
        <f>TEXT(D234, "dddd")</f>
        <v/>
      </c>
      <c r="P234" s="4">
        <f>"Q"&amp;ROUNDUP(MONTH(D234)/3, 0)</f>
        <v/>
      </c>
    </row>
    <row r="235">
      <c r="A235" s="7" t="inlineStr">
        <is>
          <t>TXN100238</t>
        </is>
      </c>
      <c r="B235" s="7" t="inlineStr">
        <is>
          <t>CUST0238</t>
        </is>
      </c>
      <c r="C235" s="7" t="inlineStr">
        <is>
          <t>2026-06-01 16:53:00</t>
        </is>
      </c>
      <c r="D235" s="7">
        <f>TEXT(LEFT(C235,10),"YYYY-MM-DD")</f>
        <v/>
      </c>
      <c r="E235" s="8">
        <f>HOUR(C235)</f>
        <v/>
      </c>
      <c r="F235" s="7" t="inlineStr">
        <is>
          <t>Unspecified</t>
        </is>
      </c>
      <c r="G235" s="8" t="n">
        <v>65</v>
      </c>
      <c r="H235" s="7">
        <f>IF(G235&gt;=60, "Boomer", IF(G235&gt;=45, "Gen X", IF(G235&gt;=25, "Millennial", "Gen Z")))</f>
        <v/>
      </c>
      <c r="I235" s="7" t="inlineStr">
        <is>
          <t>Investment</t>
        </is>
      </c>
      <c r="J235" s="7" t="inlineStr">
        <is>
          <t>Entertainment</t>
        </is>
      </c>
      <c r="K235" s="9" t="n">
        <v>3804.39</v>
      </c>
      <c r="L235" s="9" t="n">
        <v>1323.53</v>
      </c>
      <c r="M235" s="7" t="inlineStr">
        <is>
          <t>Branch Office</t>
        </is>
      </c>
      <c r="N235" s="7" t="inlineStr">
        <is>
          <t>N</t>
        </is>
      </c>
      <c r="O235" s="7">
        <f>TEXT(D235, "dddd")</f>
        <v/>
      </c>
      <c r="P235" s="7">
        <f>"Q"&amp;ROUNDUP(MONTH(D235)/3, 0)</f>
        <v/>
      </c>
    </row>
    <row r="236">
      <c r="A236" s="4" t="inlineStr">
        <is>
          <t>TXN100239</t>
        </is>
      </c>
      <c r="B236" s="4" t="inlineStr">
        <is>
          <t>CUST0239</t>
        </is>
      </c>
      <c r="C236" s="4" t="inlineStr">
        <is>
          <t>2026-06-01 21:07:00</t>
        </is>
      </c>
      <c r="D236" s="4">
        <f>TEXT(LEFT(C236,10),"YYYY-MM-DD")</f>
        <v/>
      </c>
      <c r="E236" s="5">
        <f>HOUR(C236)</f>
        <v/>
      </c>
      <c r="F236" s="4" t="inlineStr">
        <is>
          <t>Unspecified</t>
        </is>
      </c>
      <c r="G236" s="5" t="n">
        <v>57</v>
      </c>
      <c r="H236" s="4">
        <f>IF(G236&gt;=60, "Boomer", IF(G236&gt;=45, "Gen X", IF(G236&gt;=25, "Millennial", "Gen Z")))</f>
        <v/>
      </c>
      <c r="I236" s="4" t="inlineStr">
        <is>
          <t>Checking</t>
        </is>
      </c>
      <c r="J236" s="4" t="inlineStr">
        <is>
          <t>Groceries</t>
        </is>
      </c>
      <c r="K236" s="6" t="n">
        <v>4779.31</v>
      </c>
      <c r="L236" s="6" t="n">
        <v>13643.76</v>
      </c>
      <c r="M236" s="4" t="inlineStr">
        <is>
          <t>Online Banking</t>
        </is>
      </c>
      <c r="N236" s="4" t="inlineStr">
        <is>
          <t>N</t>
        </is>
      </c>
      <c r="O236" s="4">
        <f>TEXT(D236, "dddd")</f>
        <v/>
      </c>
      <c r="P236" s="4">
        <f>"Q"&amp;ROUNDUP(MONTH(D236)/3, 0)</f>
        <v/>
      </c>
    </row>
    <row r="237">
      <c r="A237" s="7" t="inlineStr">
        <is>
          <t>TXN100240</t>
        </is>
      </c>
      <c r="B237" s="7" t="inlineStr">
        <is>
          <t>CUST0240</t>
        </is>
      </c>
      <c r="C237" s="7" t="inlineStr">
        <is>
          <t>2026-06-01 23:03:00</t>
        </is>
      </c>
      <c r="D237" s="7">
        <f>TEXT(LEFT(C237,10),"YYYY-MM-DD")</f>
        <v/>
      </c>
      <c r="E237" s="8">
        <f>HOUR(C237)</f>
        <v/>
      </c>
      <c r="F237" s="7" t="inlineStr">
        <is>
          <t>Unspecified</t>
        </is>
      </c>
      <c r="G237" s="8" t="n">
        <v>30</v>
      </c>
      <c r="H237" s="7">
        <f>IF(G237&gt;=60, "Boomer", IF(G237&gt;=45, "Gen X", IF(G237&gt;=25, "Millennial", "Gen Z")))</f>
        <v/>
      </c>
      <c r="I237" s="7" t="inlineStr">
        <is>
          <t>Investment</t>
        </is>
      </c>
      <c r="J237" s="7" t="inlineStr">
        <is>
          <t>Travel</t>
        </is>
      </c>
      <c r="K237" s="9" t="n">
        <v>6199.1</v>
      </c>
      <c r="L237" s="9" t="n">
        <v>19319.42</v>
      </c>
      <c r="M237" s="7" t="inlineStr">
        <is>
          <t>Online Banking</t>
        </is>
      </c>
      <c r="N237" s="7" t="inlineStr">
        <is>
          <t>N</t>
        </is>
      </c>
      <c r="O237" s="7">
        <f>TEXT(D237, "dddd")</f>
        <v/>
      </c>
      <c r="P237" s="7">
        <f>"Q"&amp;ROUNDUP(MONTH(D237)/3, 0)</f>
        <v/>
      </c>
    </row>
    <row r="238">
      <c r="A238" s="4" t="inlineStr">
        <is>
          <t>TXN100241</t>
        </is>
      </c>
      <c r="B238" s="4" t="inlineStr">
        <is>
          <t>CUST0241</t>
        </is>
      </c>
      <c r="C238" s="4" t="inlineStr">
        <is>
          <t>2026-06-01 01:36:00</t>
        </is>
      </c>
      <c r="D238" s="4">
        <f>TEXT(LEFT(C238,10),"YYYY-MM-DD")</f>
        <v/>
      </c>
      <c r="E238" s="5">
        <f>HOUR(C238)</f>
        <v/>
      </c>
      <c r="F238" s="4" t="inlineStr">
        <is>
          <t>Male</t>
        </is>
      </c>
      <c r="G238" s="5" t="n">
        <v>32</v>
      </c>
      <c r="H238" s="4">
        <f>IF(G238&gt;=60, "Boomer", IF(G238&gt;=45, "Gen X", IF(G238&gt;=25, "Millennial", "Gen Z")))</f>
        <v/>
      </c>
      <c r="I238" s="4" t="inlineStr">
        <is>
          <t>Savings</t>
        </is>
      </c>
      <c r="J238" s="4" t="inlineStr">
        <is>
          <t>Utilities</t>
        </is>
      </c>
      <c r="K238" s="6" t="n">
        <v>2516.4</v>
      </c>
      <c r="L238" s="6" t="n">
        <v>7995.85</v>
      </c>
      <c r="M238" s="4" t="inlineStr">
        <is>
          <t>Online Banking</t>
        </is>
      </c>
      <c r="N238" s="4" t="inlineStr">
        <is>
          <t>N</t>
        </is>
      </c>
      <c r="O238" s="4">
        <f>TEXT(D238, "dddd")</f>
        <v/>
      </c>
      <c r="P238" s="4">
        <f>"Q"&amp;ROUNDUP(MONTH(D238)/3, 0)</f>
        <v/>
      </c>
    </row>
    <row r="239">
      <c r="A239" s="7" t="inlineStr">
        <is>
          <t>TXN100242</t>
        </is>
      </c>
      <c r="B239" s="7" t="inlineStr">
        <is>
          <t>CUST0242</t>
        </is>
      </c>
      <c r="C239" s="7" t="inlineStr">
        <is>
          <t>2026-06-01 13:32:00</t>
        </is>
      </c>
      <c r="D239" s="7">
        <f>TEXT(LEFT(C239,10),"YYYY-MM-DD")</f>
        <v/>
      </c>
      <c r="E239" s="8">
        <f>HOUR(C239)</f>
        <v/>
      </c>
      <c r="F239" s="7" t="inlineStr">
        <is>
          <t>Unspecified</t>
        </is>
      </c>
      <c r="G239" s="8" t="n">
        <v>75</v>
      </c>
      <c r="H239" s="7">
        <f>IF(G239&gt;=60, "Boomer", IF(G239&gt;=45, "Gen X", IF(G239&gt;=25, "Millennial", "Gen Z")))</f>
        <v/>
      </c>
      <c r="I239" s="7" t="inlineStr">
        <is>
          <t>Investment</t>
        </is>
      </c>
      <c r="J239" s="7" t="inlineStr">
        <is>
          <t>Groceries</t>
        </is>
      </c>
      <c r="K239" s="9" t="n">
        <v>5649.14</v>
      </c>
      <c r="L239" s="9" t="n">
        <v>26174.82</v>
      </c>
      <c r="M239" s="7" t="inlineStr">
        <is>
          <t>Branch Office</t>
        </is>
      </c>
      <c r="N239" s="7" t="inlineStr">
        <is>
          <t>N</t>
        </is>
      </c>
      <c r="O239" s="7">
        <f>TEXT(D239, "dddd")</f>
        <v/>
      </c>
      <c r="P239" s="7">
        <f>"Q"&amp;ROUNDUP(MONTH(D239)/3, 0)</f>
        <v/>
      </c>
    </row>
    <row r="240">
      <c r="A240" s="4" t="inlineStr">
        <is>
          <t>TXN100243</t>
        </is>
      </c>
      <c r="B240" s="4" t="inlineStr">
        <is>
          <t>CUST0243</t>
        </is>
      </c>
      <c r="C240" s="4" t="inlineStr">
        <is>
          <t>2026-06-01 21:30:00</t>
        </is>
      </c>
      <c r="D240" s="4">
        <f>TEXT(LEFT(C240,10),"YYYY-MM-DD")</f>
        <v/>
      </c>
      <c r="E240" s="5">
        <f>HOUR(C240)</f>
        <v/>
      </c>
      <c r="F240" s="4" t="inlineStr">
        <is>
          <t>Unspecified</t>
        </is>
      </c>
      <c r="G240" s="5" t="n">
        <v>40</v>
      </c>
      <c r="H240" s="4">
        <f>IF(G240&gt;=60, "Boomer", IF(G240&gt;=45, "Gen X", IF(G240&gt;=25, "Millennial", "Gen Z")))</f>
        <v/>
      </c>
      <c r="I240" s="4" t="inlineStr">
        <is>
          <t>Savings</t>
        </is>
      </c>
      <c r="J240" s="4" t="inlineStr">
        <is>
          <t>Utilities</t>
        </is>
      </c>
      <c r="K240" s="6" t="n">
        <v>7297.87</v>
      </c>
      <c r="L240" s="6" t="n">
        <v>17445.19</v>
      </c>
      <c r="M240" s="4" t="inlineStr">
        <is>
          <t>Branch Office</t>
        </is>
      </c>
      <c r="N240" s="4" t="inlineStr">
        <is>
          <t>Y</t>
        </is>
      </c>
      <c r="O240" s="4">
        <f>TEXT(D240, "dddd")</f>
        <v/>
      </c>
      <c r="P240" s="4">
        <f>"Q"&amp;ROUNDUP(MONTH(D240)/3, 0)</f>
        <v/>
      </c>
    </row>
    <row r="241">
      <c r="A241" s="7" t="inlineStr">
        <is>
          <t>TXN100244</t>
        </is>
      </c>
      <c r="B241" s="7" t="inlineStr">
        <is>
          <t>CUST0244</t>
        </is>
      </c>
      <c r="C241" s="7" t="inlineStr">
        <is>
          <t>2026-06-01 23:43:00</t>
        </is>
      </c>
      <c r="D241" s="7">
        <f>TEXT(LEFT(C241,10),"YYYY-MM-DD")</f>
        <v/>
      </c>
      <c r="E241" s="8">
        <f>HOUR(C241)</f>
        <v/>
      </c>
      <c r="F241" s="7" t="inlineStr">
        <is>
          <t>Female</t>
        </is>
      </c>
      <c r="G241" s="8" t="n">
        <v>59</v>
      </c>
      <c r="H241" s="7">
        <f>IF(G241&gt;=60, "Boomer", IF(G241&gt;=45, "Gen X", IF(G241&gt;=25, "Millennial", "Gen Z")))</f>
        <v/>
      </c>
      <c r="I241" s="7" t="inlineStr">
        <is>
          <t>Checking</t>
        </is>
      </c>
      <c r="J241" s="7" t="inlineStr">
        <is>
          <t>Groceries</t>
        </is>
      </c>
      <c r="K241" s="9" t="n">
        <v>7659.13</v>
      </c>
      <c r="L241" s="9" t="n">
        <v>14310.82</v>
      </c>
      <c r="M241" s="7" t="inlineStr">
        <is>
          <t>Branch Office</t>
        </is>
      </c>
      <c r="N241" s="7" t="inlineStr">
        <is>
          <t>N</t>
        </is>
      </c>
      <c r="O241" s="7">
        <f>TEXT(D241, "dddd")</f>
        <v/>
      </c>
      <c r="P241" s="7">
        <f>"Q"&amp;ROUNDUP(MONTH(D241)/3, 0)</f>
        <v/>
      </c>
    </row>
    <row r="242">
      <c r="A242" s="4" t="inlineStr">
        <is>
          <t>TXN100245</t>
        </is>
      </c>
      <c r="B242" s="4" t="inlineStr">
        <is>
          <t>CUST0245</t>
        </is>
      </c>
      <c r="C242" s="4" t="inlineStr">
        <is>
          <t>2026-06-01 09:49:00</t>
        </is>
      </c>
      <c r="D242" s="4">
        <f>TEXT(LEFT(C242,10),"YYYY-MM-DD")</f>
        <v/>
      </c>
      <c r="E242" s="5">
        <f>HOUR(C242)</f>
        <v/>
      </c>
      <c r="F242" s="4" t="inlineStr">
        <is>
          <t>Female</t>
        </is>
      </c>
      <c r="G242" s="5" t="n">
        <v>65</v>
      </c>
      <c r="H242" s="4">
        <f>IF(G242&gt;=60, "Boomer", IF(G242&gt;=45, "Gen X", IF(G242&gt;=25, "Millennial", "Gen Z")))</f>
        <v/>
      </c>
      <c r="I242" s="4" t="inlineStr">
        <is>
          <t>Savings</t>
        </is>
      </c>
      <c r="J242" s="4" t="inlineStr">
        <is>
          <t>Utilities</t>
        </is>
      </c>
      <c r="K242" s="6" t="n">
        <v>2543.16</v>
      </c>
      <c r="L242" s="6" t="n">
        <v>17765.76</v>
      </c>
      <c r="M242" s="4" t="inlineStr">
        <is>
          <t>Branch Office</t>
        </is>
      </c>
      <c r="N242" s="4" t="inlineStr">
        <is>
          <t>N</t>
        </is>
      </c>
      <c r="O242" s="4">
        <f>TEXT(D242, "dddd")</f>
        <v/>
      </c>
      <c r="P242" s="4">
        <f>"Q"&amp;ROUNDUP(MONTH(D242)/3, 0)</f>
        <v/>
      </c>
    </row>
    <row r="243">
      <c r="A243" s="7" t="inlineStr">
        <is>
          <t>TXN100246</t>
        </is>
      </c>
      <c r="B243" s="7" t="inlineStr">
        <is>
          <t>CUST0246</t>
        </is>
      </c>
      <c r="C243" s="7" t="inlineStr">
        <is>
          <t>2026-06-01 09:07:00</t>
        </is>
      </c>
      <c r="D243" s="7">
        <f>TEXT(LEFT(C243,10),"YYYY-MM-DD")</f>
        <v/>
      </c>
      <c r="E243" s="8">
        <f>HOUR(C243)</f>
        <v/>
      </c>
      <c r="F243" s="7" t="inlineStr">
        <is>
          <t>Unspecified</t>
        </is>
      </c>
      <c r="G243" s="8" t="n">
        <v>45</v>
      </c>
      <c r="H243" s="7">
        <f>IF(G243&gt;=60, "Boomer", IF(G243&gt;=45, "Gen X", IF(G243&gt;=25, "Millennial", "Gen Z")))</f>
        <v/>
      </c>
      <c r="I243" s="7" t="inlineStr">
        <is>
          <t>Checking</t>
        </is>
      </c>
      <c r="J243" s="7" t="inlineStr">
        <is>
          <t>Groceries</t>
        </is>
      </c>
      <c r="K243" s="9" t="n">
        <v>2330.72</v>
      </c>
      <c r="L243" s="9" t="n">
        <v>14737.7</v>
      </c>
      <c r="M243" s="7" t="inlineStr">
        <is>
          <t>Mobile App</t>
        </is>
      </c>
      <c r="N243" s="7" t="inlineStr">
        <is>
          <t>N</t>
        </is>
      </c>
      <c r="O243" s="7">
        <f>TEXT(D243, "dddd")</f>
        <v/>
      </c>
      <c r="P243" s="7">
        <f>"Q"&amp;ROUNDUP(MONTH(D243)/3, 0)</f>
        <v/>
      </c>
    </row>
    <row r="244">
      <c r="A244" s="4" t="inlineStr">
        <is>
          <t>TXN100247</t>
        </is>
      </c>
      <c r="B244" s="4" t="inlineStr">
        <is>
          <t>CUST0247</t>
        </is>
      </c>
      <c r="C244" s="4" t="inlineStr">
        <is>
          <t>2026-06-01 11:59:00</t>
        </is>
      </c>
      <c r="D244" s="4">
        <f>TEXT(LEFT(C244,10),"YYYY-MM-DD")</f>
        <v/>
      </c>
      <c r="E244" s="5">
        <f>HOUR(C244)</f>
        <v/>
      </c>
      <c r="F244" s="4" t="inlineStr">
        <is>
          <t>Unspecified</t>
        </is>
      </c>
      <c r="G244" s="5" t="n">
        <v>61</v>
      </c>
      <c r="H244" s="4">
        <f>IF(G244&gt;=60, "Boomer", IF(G244&gt;=45, "Gen X", IF(G244&gt;=25, "Millennial", "Gen Z")))</f>
        <v/>
      </c>
      <c r="I244" s="4" t="inlineStr">
        <is>
          <t>Checking</t>
        </is>
      </c>
      <c r="J244" s="4" t="inlineStr">
        <is>
          <t>Utilities</t>
        </is>
      </c>
      <c r="K244" s="6" t="n">
        <v>1719.75</v>
      </c>
      <c r="L244" s="6" t="n">
        <v>41483.61</v>
      </c>
      <c r="M244" s="4" t="inlineStr">
        <is>
          <t>Branch Office</t>
        </is>
      </c>
      <c r="N244" s="4" t="inlineStr">
        <is>
          <t>N</t>
        </is>
      </c>
      <c r="O244" s="4">
        <f>TEXT(D244, "dddd")</f>
        <v/>
      </c>
      <c r="P244" s="4">
        <f>"Q"&amp;ROUNDUP(MONTH(D244)/3, 0)</f>
        <v/>
      </c>
    </row>
    <row r="245">
      <c r="A245" s="7" t="inlineStr">
        <is>
          <t>TXN100248</t>
        </is>
      </c>
      <c r="B245" s="7" t="inlineStr">
        <is>
          <t>CUST0248</t>
        </is>
      </c>
      <c r="C245" s="7" t="inlineStr">
        <is>
          <t>2026-06-01 17:44:00</t>
        </is>
      </c>
      <c r="D245" s="7">
        <f>TEXT(LEFT(C245,10),"YYYY-MM-DD")</f>
        <v/>
      </c>
      <c r="E245" s="8">
        <f>HOUR(C245)</f>
        <v/>
      </c>
      <c r="F245" s="7" t="inlineStr">
        <is>
          <t>Female</t>
        </is>
      </c>
      <c r="G245" s="8" t="n">
        <v>28</v>
      </c>
      <c r="H245" s="7">
        <f>IF(G245&gt;=60, "Boomer", IF(G245&gt;=45, "Gen X", IF(G245&gt;=25, "Millennial", "Gen Z")))</f>
        <v/>
      </c>
      <c r="I245" s="7" t="inlineStr">
        <is>
          <t>Savings</t>
        </is>
      </c>
      <c r="J245" s="7" t="inlineStr">
        <is>
          <t>Travel</t>
        </is>
      </c>
      <c r="K245" s="9" t="n">
        <v>5929.72</v>
      </c>
      <c r="L245" s="9" t="n">
        <v>12344.46</v>
      </c>
      <c r="M245" s="7" t="inlineStr">
        <is>
          <t>Mobile App</t>
        </is>
      </c>
      <c r="N245" s="7" t="inlineStr">
        <is>
          <t>N</t>
        </is>
      </c>
      <c r="O245" s="7">
        <f>TEXT(D245, "dddd")</f>
        <v/>
      </c>
      <c r="P245" s="7">
        <f>"Q"&amp;ROUNDUP(MONTH(D245)/3, 0)</f>
        <v/>
      </c>
    </row>
    <row r="246">
      <c r="A246" s="4" t="inlineStr">
        <is>
          <t>TXN100249</t>
        </is>
      </c>
      <c r="B246" s="4" t="inlineStr">
        <is>
          <t>CUST0249</t>
        </is>
      </c>
      <c r="C246" s="4" t="inlineStr">
        <is>
          <t>2026-06-01 21:57:00</t>
        </is>
      </c>
      <c r="D246" s="4">
        <f>TEXT(LEFT(C246,10),"YYYY-MM-DD")</f>
        <v/>
      </c>
      <c r="E246" s="5">
        <f>HOUR(C246)</f>
        <v/>
      </c>
      <c r="F246" s="4" t="inlineStr">
        <is>
          <t>Female</t>
        </is>
      </c>
      <c r="G246" s="5" t="n">
        <v>60</v>
      </c>
      <c r="H246" s="4">
        <f>IF(G246&gt;=60, "Boomer", IF(G246&gt;=45, "Gen X", IF(G246&gt;=25, "Millennial", "Gen Z")))</f>
        <v/>
      </c>
      <c r="I246" s="4" t="inlineStr">
        <is>
          <t>Savings</t>
        </is>
      </c>
      <c r="J246" s="4" t="inlineStr">
        <is>
          <t>Groceries</t>
        </is>
      </c>
      <c r="K246" s="6" t="n">
        <v>810.58</v>
      </c>
      <c r="L246" s="6" t="n">
        <v>16849.53</v>
      </c>
      <c r="M246" s="4" t="inlineStr">
        <is>
          <t>ATM</t>
        </is>
      </c>
      <c r="N246" s="4" t="inlineStr">
        <is>
          <t>N</t>
        </is>
      </c>
      <c r="O246" s="4">
        <f>TEXT(D246, "dddd")</f>
        <v/>
      </c>
      <c r="P246" s="4">
        <f>"Q"&amp;ROUNDUP(MONTH(D246)/3, 0)</f>
        <v/>
      </c>
    </row>
    <row r="247">
      <c r="A247" s="7" t="inlineStr">
        <is>
          <t>TXN100250</t>
        </is>
      </c>
      <c r="B247" s="7" t="inlineStr">
        <is>
          <t>CUST0250</t>
        </is>
      </c>
      <c r="C247" s="7" t="inlineStr">
        <is>
          <t>2026-06-01 03:43:00</t>
        </is>
      </c>
      <c r="D247" s="7">
        <f>TEXT(LEFT(C247,10),"YYYY-MM-DD")</f>
        <v/>
      </c>
      <c r="E247" s="8">
        <f>HOUR(C247)</f>
        <v/>
      </c>
      <c r="F247" s="7" t="inlineStr">
        <is>
          <t>Male</t>
        </is>
      </c>
      <c r="G247" s="8" t="n">
        <v>20</v>
      </c>
      <c r="H247" s="7">
        <f>IF(G247&gt;=60, "Boomer", IF(G247&gt;=45, "Gen X", IF(G247&gt;=25, "Millennial", "Gen Z")))</f>
        <v/>
      </c>
      <c r="I247" s="7" t="inlineStr">
        <is>
          <t>Investment</t>
        </is>
      </c>
      <c r="J247" s="7" t="inlineStr">
        <is>
          <t>Groceries</t>
        </is>
      </c>
      <c r="K247" s="9" t="n">
        <v>3261.19</v>
      </c>
      <c r="L247" s="9" t="n">
        <v>46784.09</v>
      </c>
      <c r="M247" s="7" t="inlineStr">
        <is>
          <t>ATM</t>
        </is>
      </c>
      <c r="N247" s="7" t="inlineStr">
        <is>
          <t>N</t>
        </is>
      </c>
      <c r="O247" s="7">
        <f>TEXT(D247, "dddd")</f>
        <v/>
      </c>
      <c r="P247" s="7">
        <f>"Q"&amp;ROUNDUP(MONTH(D247)/3, 0)</f>
        <v/>
      </c>
    </row>
    <row r="248">
      <c r="A248" s="4" t="inlineStr">
        <is>
          <t>TXN100251</t>
        </is>
      </c>
      <c r="B248" s="4" t="inlineStr">
        <is>
          <t>CUST0251</t>
        </is>
      </c>
      <c r="C248" s="4" t="inlineStr">
        <is>
          <t>2026-06-01 15:41:00</t>
        </is>
      </c>
      <c r="D248" s="4">
        <f>TEXT(LEFT(C248,10),"YYYY-MM-DD")</f>
        <v/>
      </c>
      <c r="E248" s="5">
        <f>HOUR(C248)</f>
        <v/>
      </c>
      <c r="F248" s="4" t="inlineStr">
        <is>
          <t>Female</t>
        </is>
      </c>
      <c r="G248" s="5" t="n">
        <v>68</v>
      </c>
      <c r="H248" s="4">
        <f>IF(G248&gt;=60, "Boomer", IF(G248&gt;=45, "Gen X", IF(G248&gt;=25, "Millennial", "Gen Z")))</f>
        <v/>
      </c>
      <c r="I248" s="4" t="inlineStr">
        <is>
          <t>Checking</t>
        </is>
      </c>
      <c r="J248" s="4" t="inlineStr">
        <is>
          <t>Entertainment</t>
        </is>
      </c>
      <c r="K248" s="6" t="n">
        <v>2290.47</v>
      </c>
      <c r="L248" s="6" t="n">
        <v>3428.55</v>
      </c>
      <c r="M248" s="4" t="inlineStr">
        <is>
          <t>Mobile App</t>
        </is>
      </c>
      <c r="N248" s="4" t="inlineStr">
        <is>
          <t>N</t>
        </is>
      </c>
      <c r="O248" s="4">
        <f>TEXT(D248, "dddd")</f>
        <v/>
      </c>
      <c r="P248" s="4">
        <f>"Q"&amp;ROUNDUP(MONTH(D248)/3, 0)</f>
        <v/>
      </c>
    </row>
    <row r="249">
      <c r="A249" s="7" t="inlineStr">
        <is>
          <t>TXN100252</t>
        </is>
      </c>
      <c r="B249" s="7" t="inlineStr">
        <is>
          <t>CUST0252</t>
        </is>
      </c>
      <c r="C249" s="7" t="inlineStr">
        <is>
          <t>2026-06-01 20:36:00</t>
        </is>
      </c>
      <c r="D249" s="7">
        <f>TEXT(LEFT(C249,10),"YYYY-MM-DD")</f>
        <v/>
      </c>
      <c r="E249" s="8">
        <f>HOUR(C249)</f>
        <v/>
      </c>
      <c r="F249" s="7" t="inlineStr">
        <is>
          <t>Female</t>
        </is>
      </c>
      <c r="G249" s="8" t="n">
        <v>54</v>
      </c>
      <c r="H249" s="7">
        <f>IF(G249&gt;=60, "Boomer", IF(G249&gt;=45, "Gen X", IF(G249&gt;=25, "Millennial", "Gen Z")))</f>
        <v/>
      </c>
      <c r="I249" s="7" t="inlineStr">
        <is>
          <t>Investment</t>
        </is>
      </c>
      <c r="J249" s="7" t="inlineStr">
        <is>
          <t>Groceries</t>
        </is>
      </c>
      <c r="K249" s="9" t="n">
        <v>7306.71</v>
      </c>
      <c r="L249" s="9" t="n">
        <v>9165.709999999999</v>
      </c>
      <c r="M249" s="7" t="inlineStr">
        <is>
          <t>Online Banking</t>
        </is>
      </c>
      <c r="N249" s="7" t="inlineStr">
        <is>
          <t>Y</t>
        </is>
      </c>
      <c r="O249" s="7">
        <f>TEXT(D249, "dddd")</f>
        <v/>
      </c>
      <c r="P249" s="7">
        <f>"Q"&amp;ROUNDUP(MONTH(D249)/3, 0)</f>
        <v/>
      </c>
    </row>
    <row r="250">
      <c r="A250" s="4" t="inlineStr">
        <is>
          <t>TXN100253</t>
        </is>
      </c>
      <c r="B250" s="4" t="inlineStr">
        <is>
          <t>CUST0253</t>
        </is>
      </c>
      <c r="C250" s="4" t="inlineStr">
        <is>
          <t>2026-06-01 01:53:00</t>
        </is>
      </c>
      <c r="D250" s="4">
        <f>TEXT(LEFT(C250,10),"YYYY-MM-DD")</f>
        <v/>
      </c>
      <c r="E250" s="5">
        <f>HOUR(C250)</f>
        <v/>
      </c>
      <c r="F250" s="4" t="inlineStr">
        <is>
          <t>Unspecified</t>
        </is>
      </c>
      <c r="G250" s="5" t="n">
        <v>70</v>
      </c>
      <c r="H250" s="4">
        <f>IF(G250&gt;=60, "Boomer", IF(G250&gt;=45, "Gen X", IF(G250&gt;=25, "Millennial", "Gen Z")))</f>
        <v/>
      </c>
      <c r="I250" s="4" t="inlineStr">
        <is>
          <t>Checking</t>
        </is>
      </c>
      <c r="J250" s="4" t="inlineStr">
        <is>
          <t>Groceries</t>
        </is>
      </c>
      <c r="K250" s="6" t="n">
        <v>7493.5</v>
      </c>
      <c r="L250" s="6" t="n">
        <v>48125.5</v>
      </c>
      <c r="M250" s="4" t="inlineStr">
        <is>
          <t>Branch Office</t>
        </is>
      </c>
      <c r="N250" s="4" t="inlineStr">
        <is>
          <t>Y</t>
        </is>
      </c>
      <c r="O250" s="4">
        <f>TEXT(D250, "dddd")</f>
        <v/>
      </c>
      <c r="P250" s="4">
        <f>"Q"&amp;ROUNDUP(MONTH(D250)/3, 0)</f>
        <v/>
      </c>
    </row>
    <row r="251">
      <c r="A251" s="7" t="inlineStr">
        <is>
          <t>TXN100254</t>
        </is>
      </c>
      <c r="B251" s="7" t="inlineStr">
        <is>
          <t>CUST0254</t>
        </is>
      </c>
      <c r="C251" s="7" t="inlineStr">
        <is>
          <t>2026-06-01 00:19:00</t>
        </is>
      </c>
      <c r="D251" s="7">
        <f>TEXT(LEFT(C251,10),"YYYY-MM-DD")</f>
        <v/>
      </c>
      <c r="E251" s="8">
        <f>HOUR(C251)</f>
        <v/>
      </c>
      <c r="F251" s="7" t="inlineStr">
        <is>
          <t>Male</t>
        </is>
      </c>
      <c r="G251" s="8" t="n">
        <v>41</v>
      </c>
      <c r="H251" s="7">
        <f>IF(G251&gt;=60, "Boomer", IF(G251&gt;=45, "Gen X", IF(G251&gt;=25, "Millennial", "Gen Z")))</f>
        <v/>
      </c>
      <c r="I251" s="7" t="inlineStr">
        <is>
          <t>Checking</t>
        </is>
      </c>
      <c r="J251" s="7" t="inlineStr">
        <is>
          <t>Utilities</t>
        </is>
      </c>
      <c r="K251" s="9" t="n">
        <v>7912.9</v>
      </c>
      <c r="L251" s="9" t="n">
        <v>27393.37</v>
      </c>
      <c r="M251" s="7" t="inlineStr">
        <is>
          <t>ATM</t>
        </is>
      </c>
      <c r="N251" s="7" t="inlineStr">
        <is>
          <t>Y</t>
        </is>
      </c>
      <c r="O251" s="7">
        <f>TEXT(D251, "dddd")</f>
        <v/>
      </c>
      <c r="P251" s="7">
        <f>"Q"&amp;ROUNDUP(MONTH(D251)/3, 0)</f>
        <v/>
      </c>
    </row>
    <row r="252">
      <c r="A252" s="4" t="inlineStr">
        <is>
          <t>TXN100255</t>
        </is>
      </c>
      <c r="B252" s="4" t="inlineStr">
        <is>
          <t>CUST0255</t>
        </is>
      </c>
      <c r="C252" s="4" t="inlineStr">
        <is>
          <t>2026-06-01 04:54:00</t>
        </is>
      </c>
      <c r="D252" s="4">
        <f>TEXT(LEFT(C252,10),"YYYY-MM-DD")</f>
        <v/>
      </c>
      <c r="E252" s="5">
        <f>HOUR(C252)</f>
        <v/>
      </c>
      <c r="F252" s="4" t="inlineStr">
        <is>
          <t>Unspecified</t>
        </is>
      </c>
      <c r="G252" s="5" t="n">
        <v>37</v>
      </c>
      <c r="H252" s="4">
        <f>IF(G252&gt;=60, "Boomer", IF(G252&gt;=45, "Gen X", IF(G252&gt;=25, "Millennial", "Gen Z")))</f>
        <v/>
      </c>
      <c r="I252" s="4" t="inlineStr">
        <is>
          <t>Savings</t>
        </is>
      </c>
      <c r="J252" s="4" t="inlineStr">
        <is>
          <t>Groceries</t>
        </is>
      </c>
      <c r="K252" s="6" t="n">
        <v>2652.17</v>
      </c>
      <c r="L252" s="6" t="n">
        <v>36690.4</v>
      </c>
      <c r="M252" s="4" t="inlineStr">
        <is>
          <t>Branch Office</t>
        </is>
      </c>
      <c r="N252" s="4" t="inlineStr">
        <is>
          <t>N</t>
        </is>
      </c>
      <c r="O252" s="4">
        <f>TEXT(D252, "dddd")</f>
        <v/>
      </c>
      <c r="P252" s="4">
        <f>"Q"&amp;ROUNDUP(MONTH(D252)/3, 0)</f>
        <v/>
      </c>
    </row>
    <row r="253">
      <c r="A253" s="7" t="inlineStr">
        <is>
          <t>TXN100256</t>
        </is>
      </c>
      <c r="B253" s="7" t="inlineStr">
        <is>
          <t>CUST0256</t>
        </is>
      </c>
      <c r="C253" s="7" t="inlineStr">
        <is>
          <t>2026-06-01 22:11:00</t>
        </is>
      </c>
      <c r="D253" s="7">
        <f>TEXT(LEFT(C253,10),"YYYY-MM-DD")</f>
        <v/>
      </c>
      <c r="E253" s="8">
        <f>HOUR(C253)</f>
        <v/>
      </c>
      <c r="F253" s="7" t="inlineStr">
        <is>
          <t>Male</t>
        </is>
      </c>
      <c r="G253" s="8" t="n">
        <v>67</v>
      </c>
      <c r="H253" s="7">
        <f>IF(G253&gt;=60, "Boomer", IF(G253&gt;=45, "Gen X", IF(G253&gt;=25, "Millennial", "Gen Z")))</f>
        <v/>
      </c>
      <c r="I253" s="7" t="inlineStr">
        <is>
          <t>Checking</t>
        </is>
      </c>
      <c r="J253" s="7" t="inlineStr">
        <is>
          <t>Entertainment</t>
        </is>
      </c>
      <c r="K253" s="9" t="n">
        <v>4546.57</v>
      </c>
      <c r="L253" s="9" t="n">
        <v>37985.5</v>
      </c>
      <c r="M253" s="7" t="inlineStr">
        <is>
          <t>Online Banking</t>
        </is>
      </c>
      <c r="N253" s="7" t="inlineStr">
        <is>
          <t>N</t>
        </is>
      </c>
      <c r="O253" s="7">
        <f>TEXT(D253, "dddd")</f>
        <v/>
      </c>
      <c r="P253" s="7">
        <f>"Q"&amp;ROUNDUP(MONTH(D253)/3, 0)</f>
        <v/>
      </c>
    </row>
    <row r="254">
      <c r="A254" s="4" t="inlineStr">
        <is>
          <t>TXN100257</t>
        </is>
      </c>
      <c r="B254" s="4" t="inlineStr">
        <is>
          <t>CUST0257</t>
        </is>
      </c>
      <c r="C254" s="4" t="inlineStr">
        <is>
          <t>2026-06-01 19:54:00</t>
        </is>
      </c>
      <c r="D254" s="4">
        <f>TEXT(LEFT(C254,10),"YYYY-MM-DD")</f>
        <v/>
      </c>
      <c r="E254" s="5">
        <f>HOUR(C254)</f>
        <v/>
      </c>
      <c r="F254" s="4" t="inlineStr">
        <is>
          <t>Unspecified</t>
        </is>
      </c>
      <c r="G254" s="5" t="n">
        <v>72</v>
      </c>
      <c r="H254" s="4">
        <f>IF(G254&gt;=60, "Boomer", IF(G254&gt;=45, "Gen X", IF(G254&gt;=25, "Millennial", "Gen Z")))</f>
        <v/>
      </c>
      <c r="I254" s="4" t="inlineStr">
        <is>
          <t>Checking</t>
        </is>
      </c>
      <c r="J254" s="4" t="inlineStr">
        <is>
          <t>Travel</t>
        </is>
      </c>
      <c r="K254" s="6" t="n">
        <v>2630.13</v>
      </c>
      <c r="L254" s="6" t="n">
        <v>20341.25</v>
      </c>
      <c r="M254" s="4" t="inlineStr">
        <is>
          <t>Mobile App</t>
        </is>
      </c>
      <c r="N254" s="4" t="inlineStr">
        <is>
          <t>N</t>
        </is>
      </c>
      <c r="O254" s="4">
        <f>TEXT(D254, "dddd")</f>
        <v/>
      </c>
      <c r="P254" s="4">
        <f>"Q"&amp;ROUNDUP(MONTH(D254)/3, 0)</f>
        <v/>
      </c>
    </row>
    <row r="255">
      <c r="A255" s="7" t="inlineStr">
        <is>
          <t>TXN100258</t>
        </is>
      </c>
      <c r="B255" s="7" t="inlineStr">
        <is>
          <t>CUST0258</t>
        </is>
      </c>
      <c r="C255" s="7" t="inlineStr">
        <is>
          <t>2026-06-01 05:08:00</t>
        </is>
      </c>
      <c r="D255" s="7">
        <f>TEXT(LEFT(C255,10),"YYYY-MM-DD")</f>
        <v/>
      </c>
      <c r="E255" s="8">
        <f>HOUR(C255)</f>
        <v/>
      </c>
      <c r="F255" s="7" t="inlineStr">
        <is>
          <t>Unspecified</t>
        </is>
      </c>
      <c r="G255" s="8" t="n">
        <v>40</v>
      </c>
      <c r="H255" s="7">
        <f>IF(G255&gt;=60, "Boomer", IF(G255&gt;=45, "Gen X", IF(G255&gt;=25, "Millennial", "Gen Z")))</f>
        <v/>
      </c>
      <c r="I255" s="7" t="inlineStr">
        <is>
          <t>Savings</t>
        </is>
      </c>
      <c r="J255" s="7" t="inlineStr">
        <is>
          <t>Groceries</t>
        </is>
      </c>
      <c r="K255" s="9" t="n">
        <v>2093.67</v>
      </c>
      <c r="L255" s="9" t="n">
        <v>12158.3</v>
      </c>
      <c r="M255" s="7" t="inlineStr">
        <is>
          <t>Branch Office</t>
        </is>
      </c>
      <c r="N255" s="7" t="inlineStr">
        <is>
          <t>N</t>
        </is>
      </c>
      <c r="O255" s="7">
        <f>TEXT(D255, "dddd")</f>
        <v/>
      </c>
      <c r="P255" s="7">
        <f>"Q"&amp;ROUNDUP(MONTH(D255)/3, 0)</f>
        <v/>
      </c>
    </row>
    <row r="256">
      <c r="A256" s="4" t="inlineStr">
        <is>
          <t>TXN100259</t>
        </is>
      </c>
      <c r="B256" s="4" t="inlineStr">
        <is>
          <t>CUST0259</t>
        </is>
      </c>
      <c r="C256" s="4" t="inlineStr">
        <is>
          <t>2026-06-01 10:19:00</t>
        </is>
      </c>
      <c r="D256" s="4">
        <f>TEXT(LEFT(C256,10),"YYYY-MM-DD")</f>
        <v/>
      </c>
      <c r="E256" s="5">
        <f>HOUR(C256)</f>
        <v/>
      </c>
      <c r="F256" s="4" t="inlineStr">
        <is>
          <t>Male</t>
        </is>
      </c>
      <c r="G256" s="5" t="n">
        <v>36</v>
      </c>
      <c r="H256" s="4">
        <f>IF(G256&gt;=60, "Boomer", IF(G256&gt;=45, "Gen X", IF(G256&gt;=25, "Millennial", "Gen Z")))</f>
        <v/>
      </c>
      <c r="I256" s="4" t="inlineStr">
        <is>
          <t>Investment</t>
        </is>
      </c>
      <c r="J256" s="4" t="inlineStr">
        <is>
          <t>Entertainment</t>
        </is>
      </c>
      <c r="K256" s="6" t="n">
        <v>5545.22</v>
      </c>
      <c r="L256" s="6" t="n">
        <v>3575.15</v>
      </c>
      <c r="M256" s="4" t="inlineStr">
        <is>
          <t>Mobile App</t>
        </is>
      </c>
      <c r="N256" s="4" t="inlineStr">
        <is>
          <t>N</t>
        </is>
      </c>
      <c r="O256" s="4">
        <f>TEXT(D256, "dddd")</f>
        <v/>
      </c>
      <c r="P256" s="4">
        <f>"Q"&amp;ROUNDUP(MONTH(D256)/3, 0)</f>
        <v/>
      </c>
    </row>
    <row r="257">
      <c r="A257" s="7" t="inlineStr">
        <is>
          <t>TXN100260</t>
        </is>
      </c>
      <c r="B257" s="7" t="inlineStr">
        <is>
          <t>CUST0260</t>
        </is>
      </c>
      <c r="C257" s="7" t="inlineStr">
        <is>
          <t>2026-06-01 14:19:00</t>
        </is>
      </c>
      <c r="D257" s="7">
        <f>TEXT(LEFT(C257,10),"YYYY-MM-DD")</f>
        <v/>
      </c>
      <c r="E257" s="8">
        <f>HOUR(C257)</f>
        <v/>
      </c>
      <c r="F257" s="7" t="inlineStr">
        <is>
          <t>Male</t>
        </is>
      </c>
      <c r="G257" s="8" t="n">
        <v>45</v>
      </c>
      <c r="H257" s="7">
        <f>IF(G257&gt;=60, "Boomer", IF(G257&gt;=45, "Gen X", IF(G257&gt;=25, "Millennial", "Gen Z")))</f>
        <v/>
      </c>
      <c r="I257" s="7" t="inlineStr">
        <is>
          <t>Investment</t>
        </is>
      </c>
      <c r="J257" s="7" t="inlineStr">
        <is>
          <t>Travel</t>
        </is>
      </c>
      <c r="K257" s="9" t="n">
        <v>7385.62</v>
      </c>
      <c r="L257" s="9" t="n">
        <v>44446.17</v>
      </c>
      <c r="M257" s="7" t="inlineStr">
        <is>
          <t>Branch Office</t>
        </is>
      </c>
      <c r="N257" s="7" t="inlineStr">
        <is>
          <t>Y</t>
        </is>
      </c>
      <c r="O257" s="7">
        <f>TEXT(D257, "dddd")</f>
        <v/>
      </c>
      <c r="P257" s="7">
        <f>"Q"&amp;ROUNDUP(MONTH(D257)/3, 0)</f>
        <v/>
      </c>
    </row>
    <row r="258">
      <c r="A258" s="4" t="inlineStr">
        <is>
          <t>TXN100261</t>
        </is>
      </c>
      <c r="B258" s="4" t="inlineStr">
        <is>
          <t>CUST0261</t>
        </is>
      </c>
      <c r="C258" s="4" t="inlineStr">
        <is>
          <t>2026-06-01 20:58:00</t>
        </is>
      </c>
      <c r="D258" s="4">
        <f>TEXT(LEFT(C258,10),"YYYY-MM-DD")</f>
        <v/>
      </c>
      <c r="E258" s="5">
        <f>HOUR(C258)</f>
        <v/>
      </c>
      <c r="F258" s="4" t="inlineStr">
        <is>
          <t>Female</t>
        </is>
      </c>
      <c r="G258" s="5" t="n">
        <v>43</v>
      </c>
      <c r="H258" s="4">
        <f>IF(G258&gt;=60, "Boomer", IF(G258&gt;=45, "Gen X", IF(G258&gt;=25, "Millennial", "Gen Z")))</f>
        <v/>
      </c>
      <c r="I258" s="4" t="inlineStr">
        <is>
          <t>Investment</t>
        </is>
      </c>
      <c r="J258" s="4" t="inlineStr">
        <is>
          <t>Groceries</t>
        </is>
      </c>
      <c r="K258" s="6" t="n">
        <v>1760.84</v>
      </c>
      <c r="L258" s="6" t="n">
        <v>7111.65</v>
      </c>
      <c r="M258" s="4" t="inlineStr">
        <is>
          <t>Online Banking</t>
        </is>
      </c>
      <c r="N258" s="4" t="inlineStr">
        <is>
          <t>N</t>
        </is>
      </c>
      <c r="O258" s="4">
        <f>TEXT(D258, "dddd")</f>
        <v/>
      </c>
      <c r="P258" s="4">
        <f>"Q"&amp;ROUNDUP(MONTH(D258)/3, 0)</f>
        <v/>
      </c>
    </row>
    <row r="259">
      <c r="A259" s="7" t="inlineStr">
        <is>
          <t>TXN100262</t>
        </is>
      </c>
      <c r="B259" s="7" t="inlineStr">
        <is>
          <t>CUST0262</t>
        </is>
      </c>
      <c r="C259" s="7" t="inlineStr">
        <is>
          <t>2026-06-01 14:47:00</t>
        </is>
      </c>
      <c r="D259" s="7">
        <f>TEXT(LEFT(C259,10),"YYYY-MM-DD")</f>
        <v/>
      </c>
      <c r="E259" s="8">
        <f>HOUR(C259)</f>
        <v/>
      </c>
      <c r="F259" s="7" t="inlineStr">
        <is>
          <t>Female</t>
        </is>
      </c>
      <c r="G259" s="8" t="n">
        <v>46</v>
      </c>
      <c r="H259" s="7">
        <f>IF(G259&gt;=60, "Boomer", IF(G259&gt;=45, "Gen X", IF(G259&gt;=25, "Millennial", "Gen Z")))</f>
        <v/>
      </c>
      <c r="I259" s="7" t="inlineStr">
        <is>
          <t>Investment</t>
        </is>
      </c>
      <c r="J259" s="7" t="inlineStr">
        <is>
          <t>Travel</t>
        </is>
      </c>
      <c r="K259" s="9" t="n">
        <v>7303.25</v>
      </c>
      <c r="L259" s="9" t="n">
        <v>37988.85</v>
      </c>
      <c r="M259" s="7" t="inlineStr">
        <is>
          <t>Online Banking</t>
        </is>
      </c>
      <c r="N259" s="7" t="inlineStr">
        <is>
          <t>Y</t>
        </is>
      </c>
      <c r="O259" s="7">
        <f>TEXT(D259, "dddd")</f>
        <v/>
      </c>
      <c r="P259" s="7">
        <f>"Q"&amp;ROUNDUP(MONTH(D259)/3, 0)</f>
        <v/>
      </c>
    </row>
    <row r="260">
      <c r="A260" s="4" t="inlineStr">
        <is>
          <t>TXN100263</t>
        </is>
      </c>
      <c r="B260" s="4" t="inlineStr">
        <is>
          <t>CUST0263</t>
        </is>
      </c>
      <c r="C260" s="4" t="inlineStr">
        <is>
          <t>2026-06-01 21:48:00</t>
        </is>
      </c>
      <c r="D260" s="4">
        <f>TEXT(LEFT(C260,10),"YYYY-MM-DD")</f>
        <v/>
      </c>
      <c r="E260" s="5">
        <f>HOUR(C260)</f>
        <v/>
      </c>
      <c r="F260" s="4" t="inlineStr">
        <is>
          <t>Male</t>
        </is>
      </c>
      <c r="G260" s="5" t="n">
        <v>53</v>
      </c>
      <c r="H260" s="4">
        <f>IF(G260&gt;=60, "Boomer", IF(G260&gt;=45, "Gen X", IF(G260&gt;=25, "Millennial", "Gen Z")))</f>
        <v/>
      </c>
      <c r="I260" s="4" t="inlineStr">
        <is>
          <t>Checking</t>
        </is>
      </c>
      <c r="J260" s="4" t="inlineStr">
        <is>
          <t>Travel</t>
        </is>
      </c>
      <c r="K260" s="6" t="n">
        <v>5633.09</v>
      </c>
      <c r="L260" s="6" t="n">
        <v>4366.08</v>
      </c>
      <c r="M260" s="4" t="inlineStr">
        <is>
          <t>Mobile App</t>
        </is>
      </c>
      <c r="N260" s="4" t="inlineStr">
        <is>
          <t>N</t>
        </is>
      </c>
      <c r="O260" s="4">
        <f>TEXT(D260, "dddd")</f>
        <v/>
      </c>
      <c r="P260" s="4">
        <f>"Q"&amp;ROUNDUP(MONTH(D260)/3, 0)</f>
        <v/>
      </c>
    </row>
    <row r="261">
      <c r="A261" s="7" t="inlineStr">
        <is>
          <t>TXN100264</t>
        </is>
      </c>
      <c r="B261" s="7" t="inlineStr">
        <is>
          <t>CUST0264</t>
        </is>
      </c>
      <c r="C261" s="7" t="inlineStr">
        <is>
          <t>2026-06-01 01:53:00</t>
        </is>
      </c>
      <c r="D261" s="7">
        <f>TEXT(LEFT(C261,10),"YYYY-MM-DD")</f>
        <v/>
      </c>
      <c r="E261" s="8">
        <f>HOUR(C261)</f>
        <v/>
      </c>
      <c r="F261" s="7" t="inlineStr">
        <is>
          <t>Female</t>
        </is>
      </c>
      <c r="G261" s="8" t="n">
        <v>56</v>
      </c>
      <c r="H261" s="7">
        <f>IF(G261&gt;=60, "Boomer", IF(G261&gt;=45, "Gen X", IF(G261&gt;=25, "Millennial", "Gen Z")))</f>
        <v/>
      </c>
      <c r="I261" s="7" t="inlineStr">
        <is>
          <t>Investment</t>
        </is>
      </c>
      <c r="J261" s="7" t="inlineStr">
        <is>
          <t>Groceries</t>
        </is>
      </c>
      <c r="K261" s="9" t="n">
        <v>1324.65</v>
      </c>
      <c r="L261" s="9" t="n">
        <v>42797.06</v>
      </c>
      <c r="M261" s="7" t="inlineStr">
        <is>
          <t>ATM</t>
        </is>
      </c>
      <c r="N261" s="7" t="inlineStr">
        <is>
          <t>N</t>
        </is>
      </c>
      <c r="O261" s="7">
        <f>TEXT(D261, "dddd")</f>
        <v/>
      </c>
      <c r="P261" s="7">
        <f>"Q"&amp;ROUNDUP(MONTH(D261)/3, 0)</f>
        <v/>
      </c>
    </row>
    <row r="262">
      <c r="A262" s="4" t="inlineStr">
        <is>
          <t>TXN100265</t>
        </is>
      </c>
      <c r="B262" s="4" t="inlineStr">
        <is>
          <t>CUST0265</t>
        </is>
      </c>
      <c r="C262" s="4" t="inlineStr">
        <is>
          <t>2026-06-01 03:43:00</t>
        </is>
      </c>
      <c r="D262" s="4">
        <f>TEXT(LEFT(C262,10),"YYYY-MM-DD")</f>
        <v/>
      </c>
      <c r="E262" s="5">
        <f>HOUR(C262)</f>
        <v/>
      </c>
      <c r="F262" s="4" t="inlineStr">
        <is>
          <t>Female</t>
        </is>
      </c>
      <c r="G262" s="5" t="n">
        <v>65</v>
      </c>
      <c r="H262" s="4">
        <f>IF(G262&gt;=60, "Boomer", IF(G262&gt;=45, "Gen X", IF(G262&gt;=25, "Millennial", "Gen Z")))</f>
        <v/>
      </c>
      <c r="I262" s="4" t="inlineStr">
        <is>
          <t>Investment</t>
        </is>
      </c>
      <c r="J262" s="4" t="inlineStr">
        <is>
          <t>Utilities</t>
        </is>
      </c>
      <c r="K262" s="6" t="n">
        <v>736.62</v>
      </c>
      <c r="L262" s="6" t="n">
        <v>25763.58</v>
      </c>
      <c r="M262" s="4" t="inlineStr">
        <is>
          <t>Mobile App</t>
        </is>
      </c>
      <c r="N262" s="4" t="inlineStr">
        <is>
          <t>N</t>
        </is>
      </c>
      <c r="O262" s="4">
        <f>TEXT(D262, "dddd")</f>
        <v/>
      </c>
      <c r="P262" s="4">
        <f>"Q"&amp;ROUNDUP(MONTH(D262)/3, 0)</f>
        <v/>
      </c>
    </row>
    <row r="263">
      <c r="A263" s="7" t="inlineStr">
        <is>
          <t>TXN100266</t>
        </is>
      </c>
      <c r="B263" s="7" t="inlineStr">
        <is>
          <t>CUST0266</t>
        </is>
      </c>
      <c r="C263" s="7" t="inlineStr">
        <is>
          <t>2026-06-01 14:08:00</t>
        </is>
      </c>
      <c r="D263" s="7">
        <f>TEXT(LEFT(C263,10),"YYYY-MM-DD")</f>
        <v/>
      </c>
      <c r="E263" s="8">
        <f>HOUR(C263)</f>
        <v/>
      </c>
      <c r="F263" s="7" t="inlineStr">
        <is>
          <t>Unspecified</t>
        </is>
      </c>
      <c r="G263" s="8" t="n">
        <v>49</v>
      </c>
      <c r="H263" s="7">
        <f>IF(G263&gt;=60, "Boomer", IF(G263&gt;=45, "Gen X", IF(G263&gt;=25, "Millennial", "Gen Z")))</f>
        <v/>
      </c>
      <c r="I263" s="7" t="inlineStr">
        <is>
          <t>Investment</t>
        </is>
      </c>
      <c r="J263" s="7" t="inlineStr">
        <is>
          <t>Groceries</t>
        </is>
      </c>
      <c r="K263" s="9" t="n">
        <v>4474.79</v>
      </c>
      <c r="L263" s="9" t="n">
        <v>33802</v>
      </c>
      <c r="M263" s="7" t="inlineStr">
        <is>
          <t>Branch Office</t>
        </is>
      </c>
      <c r="N263" s="7" t="inlineStr">
        <is>
          <t>N</t>
        </is>
      </c>
      <c r="O263" s="7">
        <f>TEXT(D263, "dddd")</f>
        <v/>
      </c>
      <c r="P263" s="7">
        <f>"Q"&amp;ROUNDUP(MONTH(D263)/3, 0)</f>
        <v/>
      </c>
    </row>
    <row r="264">
      <c r="A264" s="4" t="inlineStr">
        <is>
          <t>TXN100267</t>
        </is>
      </c>
      <c r="B264" s="4" t="inlineStr">
        <is>
          <t>CUST0267</t>
        </is>
      </c>
      <c r="C264" s="4" t="inlineStr">
        <is>
          <t>2026-06-01 23:01:00</t>
        </is>
      </c>
      <c r="D264" s="4">
        <f>TEXT(LEFT(C264,10),"YYYY-MM-DD")</f>
        <v/>
      </c>
      <c r="E264" s="5">
        <f>HOUR(C264)</f>
        <v/>
      </c>
      <c r="F264" s="4" t="inlineStr">
        <is>
          <t>Unspecified</t>
        </is>
      </c>
      <c r="G264" s="5" t="n">
        <v>36</v>
      </c>
      <c r="H264" s="4">
        <f>IF(G264&gt;=60, "Boomer", IF(G264&gt;=45, "Gen X", IF(G264&gt;=25, "Millennial", "Gen Z")))</f>
        <v/>
      </c>
      <c r="I264" s="4" t="inlineStr">
        <is>
          <t>Savings</t>
        </is>
      </c>
      <c r="J264" s="4" t="inlineStr">
        <is>
          <t>Groceries</t>
        </is>
      </c>
      <c r="K264" s="6" t="n">
        <v>4630.71</v>
      </c>
      <c r="L264" s="6" t="n">
        <v>2741.85</v>
      </c>
      <c r="M264" s="4" t="inlineStr">
        <is>
          <t>Branch Office</t>
        </is>
      </c>
      <c r="N264" s="4" t="inlineStr">
        <is>
          <t>N</t>
        </is>
      </c>
      <c r="O264" s="4">
        <f>TEXT(D264, "dddd")</f>
        <v/>
      </c>
      <c r="P264" s="4">
        <f>"Q"&amp;ROUNDUP(MONTH(D264)/3, 0)</f>
        <v/>
      </c>
    </row>
    <row r="265">
      <c r="A265" s="7" t="inlineStr">
        <is>
          <t>TXN100268</t>
        </is>
      </c>
      <c r="B265" s="7" t="inlineStr">
        <is>
          <t>CUST0268</t>
        </is>
      </c>
      <c r="C265" s="7" t="inlineStr">
        <is>
          <t>2026-06-01 22:04:00</t>
        </is>
      </c>
      <c r="D265" s="7">
        <f>TEXT(LEFT(C265,10),"YYYY-MM-DD")</f>
        <v/>
      </c>
      <c r="E265" s="8">
        <f>HOUR(C265)</f>
        <v/>
      </c>
      <c r="F265" s="7" t="inlineStr">
        <is>
          <t>Male</t>
        </is>
      </c>
      <c r="G265" s="8" t="n">
        <v>24</v>
      </c>
      <c r="H265" s="7">
        <f>IF(G265&gt;=60, "Boomer", IF(G265&gt;=45, "Gen X", IF(G265&gt;=25, "Millennial", "Gen Z")))</f>
        <v/>
      </c>
      <c r="I265" s="7" t="inlineStr">
        <is>
          <t>Checking</t>
        </is>
      </c>
      <c r="J265" s="7" t="inlineStr">
        <is>
          <t>Groceries</t>
        </is>
      </c>
      <c r="K265" s="9" t="n">
        <v>2303.85</v>
      </c>
      <c r="L265" s="9" t="n">
        <v>9409.08</v>
      </c>
      <c r="M265" s="7" t="inlineStr">
        <is>
          <t>Online Banking</t>
        </is>
      </c>
      <c r="N265" s="7" t="inlineStr">
        <is>
          <t>N</t>
        </is>
      </c>
      <c r="O265" s="7">
        <f>TEXT(D265, "dddd")</f>
        <v/>
      </c>
      <c r="P265" s="7">
        <f>"Q"&amp;ROUNDUP(MONTH(D265)/3, 0)</f>
        <v/>
      </c>
    </row>
    <row r="266">
      <c r="A266" s="4" t="inlineStr">
        <is>
          <t>TXN100269</t>
        </is>
      </c>
      <c r="B266" s="4" t="inlineStr">
        <is>
          <t>CUST0269</t>
        </is>
      </c>
      <c r="C266" s="4" t="inlineStr">
        <is>
          <t>2026-06-01 20:46:00</t>
        </is>
      </c>
      <c r="D266" s="4">
        <f>TEXT(LEFT(C266,10),"YYYY-MM-DD")</f>
        <v/>
      </c>
      <c r="E266" s="5">
        <f>HOUR(C266)</f>
        <v/>
      </c>
      <c r="F266" s="4" t="inlineStr">
        <is>
          <t>Unspecified</t>
        </is>
      </c>
      <c r="G266" s="5" t="n">
        <v>43</v>
      </c>
      <c r="H266" s="4">
        <f>IF(G266&gt;=60, "Boomer", IF(G266&gt;=45, "Gen X", IF(G266&gt;=25, "Millennial", "Gen Z")))</f>
        <v/>
      </c>
      <c r="I266" s="4" t="inlineStr">
        <is>
          <t>Checking</t>
        </is>
      </c>
      <c r="J266" s="4" t="inlineStr">
        <is>
          <t>Utilities</t>
        </is>
      </c>
      <c r="K266" s="6" t="n">
        <v>6958.27</v>
      </c>
      <c r="L266" s="6" t="n">
        <v>45384.98</v>
      </c>
      <c r="M266" s="4" t="inlineStr">
        <is>
          <t>ATM</t>
        </is>
      </c>
      <c r="N266" s="4" t="inlineStr">
        <is>
          <t>N</t>
        </is>
      </c>
      <c r="O266" s="4">
        <f>TEXT(D266, "dddd")</f>
        <v/>
      </c>
      <c r="P266" s="4">
        <f>"Q"&amp;ROUNDUP(MONTH(D266)/3, 0)</f>
        <v/>
      </c>
    </row>
    <row r="267">
      <c r="A267" s="7" t="inlineStr">
        <is>
          <t>TXN100270</t>
        </is>
      </c>
      <c r="B267" s="7" t="inlineStr">
        <is>
          <t>CUST0270</t>
        </is>
      </c>
      <c r="C267" s="7" t="inlineStr">
        <is>
          <t>2026-06-01 02:43:00</t>
        </is>
      </c>
      <c r="D267" s="7">
        <f>TEXT(LEFT(C267,10),"YYYY-MM-DD")</f>
        <v/>
      </c>
      <c r="E267" s="8">
        <f>HOUR(C267)</f>
        <v/>
      </c>
      <c r="F267" s="7" t="inlineStr">
        <is>
          <t>Male</t>
        </is>
      </c>
      <c r="G267" s="8" t="n">
        <v>61</v>
      </c>
      <c r="H267" s="7">
        <f>IF(G267&gt;=60, "Boomer", IF(G267&gt;=45, "Gen X", IF(G267&gt;=25, "Millennial", "Gen Z")))</f>
        <v/>
      </c>
      <c r="I267" s="7" t="inlineStr">
        <is>
          <t>Checking</t>
        </is>
      </c>
      <c r="J267" s="7" t="inlineStr">
        <is>
          <t>Groceries</t>
        </is>
      </c>
      <c r="K267" s="9" t="n">
        <v>1436</v>
      </c>
      <c r="L267" s="9" t="n">
        <v>27094.3</v>
      </c>
      <c r="M267" s="7" t="inlineStr">
        <is>
          <t>Online Banking</t>
        </is>
      </c>
      <c r="N267" s="7" t="inlineStr">
        <is>
          <t>N</t>
        </is>
      </c>
      <c r="O267" s="7">
        <f>TEXT(D267, "dddd")</f>
        <v/>
      </c>
      <c r="P267" s="7">
        <f>"Q"&amp;ROUNDUP(MONTH(D267)/3, 0)</f>
        <v/>
      </c>
    </row>
    <row r="268">
      <c r="A268" s="4" t="inlineStr">
        <is>
          <t>TXN100271</t>
        </is>
      </c>
      <c r="B268" s="4" t="inlineStr">
        <is>
          <t>CUST0271</t>
        </is>
      </c>
      <c r="C268" s="4" t="inlineStr">
        <is>
          <t>2026-06-01 23:14:00</t>
        </is>
      </c>
      <c r="D268" s="4">
        <f>TEXT(LEFT(C268,10),"YYYY-MM-DD")</f>
        <v/>
      </c>
      <c r="E268" s="5">
        <f>HOUR(C268)</f>
        <v/>
      </c>
      <c r="F268" s="4" t="inlineStr">
        <is>
          <t>Male</t>
        </is>
      </c>
      <c r="G268" s="5" t="n">
        <v>68</v>
      </c>
      <c r="H268" s="4">
        <f>IF(G268&gt;=60, "Boomer", IF(G268&gt;=45, "Gen X", IF(G268&gt;=25, "Millennial", "Gen Z")))</f>
        <v/>
      </c>
      <c r="I268" s="4" t="inlineStr">
        <is>
          <t>Savings</t>
        </is>
      </c>
      <c r="J268" s="4" t="inlineStr">
        <is>
          <t>Entertainment</t>
        </is>
      </c>
      <c r="K268" s="6" t="n">
        <v>3709.4</v>
      </c>
      <c r="L268" s="6" t="n">
        <v>36095.15</v>
      </c>
      <c r="M268" s="4" t="inlineStr">
        <is>
          <t>ATM</t>
        </is>
      </c>
      <c r="N268" s="4" t="inlineStr">
        <is>
          <t>N</t>
        </is>
      </c>
      <c r="O268" s="4">
        <f>TEXT(D268, "dddd")</f>
        <v/>
      </c>
      <c r="P268" s="4">
        <f>"Q"&amp;ROUNDUP(MONTH(D268)/3, 0)</f>
        <v/>
      </c>
    </row>
    <row r="269">
      <c r="A269" s="7" t="inlineStr">
        <is>
          <t>TXN100272</t>
        </is>
      </c>
      <c r="B269" s="7" t="inlineStr">
        <is>
          <t>CUST0272</t>
        </is>
      </c>
      <c r="C269" s="7" t="inlineStr">
        <is>
          <t>2026-06-01 17:24:00</t>
        </is>
      </c>
      <c r="D269" s="7">
        <f>TEXT(LEFT(C269,10),"YYYY-MM-DD")</f>
        <v/>
      </c>
      <c r="E269" s="8">
        <f>HOUR(C269)</f>
        <v/>
      </c>
      <c r="F269" s="7" t="inlineStr">
        <is>
          <t>Female</t>
        </is>
      </c>
      <c r="G269" s="8" t="n">
        <v>35</v>
      </c>
      <c r="H269" s="7">
        <f>IF(G269&gt;=60, "Boomer", IF(G269&gt;=45, "Gen X", IF(G269&gt;=25, "Millennial", "Gen Z")))</f>
        <v/>
      </c>
      <c r="I269" s="7" t="inlineStr">
        <is>
          <t>Checking</t>
        </is>
      </c>
      <c r="J269" s="7" t="inlineStr">
        <is>
          <t>Entertainment</t>
        </is>
      </c>
      <c r="K269" s="9" t="n">
        <v>1249.42</v>
      </c>
      <c r="L269" s="9" t="n">
        <v>9829.780000000001</v>
      </c>
      <c r="M269" s="7" t="inlineStr">
        <is>
          <t>Mobile App</t>
        </is>
      </c>
      <c r="N269" s="7" t="inlineStr">
        <is>
          <t>N</t>
        </is>
      </c>
      <c r="O269" s="7">
        <f>TEXT(D269, "dddd")</f>
        <v/>
      </c>
      <c r="P269" s="7">
        <f>"Q"&amp;ROUNDUP(MONTH(D269)/3, 0)</f>
        <v/>
      </c>
    </row>
    <row r="270">
      <c r="A270" s="4" t="inlineStr">
        <is>
          <t>TXN100273</t>
        </is>
      </c>
      <c r="B270" s="4" t="inlineStr">
        <is>
          <t>CUST0273</t>
        </is>
      </c>
      <c r="C270" s="4" t="inlineStr">
        <is>
          <t>2026-06-01 01:51:00</t>
        </is>
      </c>
      <c r="D270" s="4">
        <f>TEXT(LEFT(C270,10),"YYYY-MM-DD")</f>
        <v/>
      </c>
      <c r="E270" s="5">
        <f>HOUR(C270)</f>
        <v/>
      </c>
      <c r="F270" s="4" t="inlineStr">
        <is>
          <t>Unspecified</t>
        </is>
      </c>
      <c r="G270" s="5" t="n">
        <v>59</v>
      </c>
      <c r="H270" s="4">
        <f>IF(G270&gt;=60, "Boomer", IF(G270&gt;=45, "Gen X", IF(G270&gt;=25, "Millennial", "Gen Z")))</f>
        <v/>
      </c>
      <c r="I270" s="4" t="inlineStr">
        <is>
          <t>Savings</t>
        </is>
      </c>
      <c r="J270" s="4" t="inlineStr">
        <is>
          <t>Groceries</t>
        </is>
      </c>
      <c r="K270" s="6" t="n">
        <v>1656.59</v>
      </c>
      <c r="L270" s="6" t="n">
        <v>5494.39</v>
      </c>
      <c r="M270" s="4" t="inlineStr">
        <is>
          <t>Mobile App</t>
        </is>
      </c>
      <c r="N270" s="4" t="inlineStr">
        <is>
          <t>N</t>
        </is>
      </c>
      <c r="O270" s="4">
        <f>TEXT(D270, "dddd")</f>
        <v/>
      </c>
      <c r="P270" s="4">
        <f>"Q"&amp;ROUNDUP(MONTH(D270)/3, 0)</f>
        <v/>
      </c>
    </row>
    <row r="271">
      <c r="A271" s="7" t="inlineStr">
        <is>
          <t>TXN100274</t>
        </is>
      </c>
      <c r="B271" s="7" t="inlineStr">
        <is>
          <t>CUST0274</t>
        </is>
      </c>
      <c r="C271" s="7" t="inlineStr">
        <is>
          <t>2026-06-01 14:38:00</t>
        </is>
      </c>
      <c r="D271" s="7">
        <f>TEXT(LEFT(C271,10),"YYYY-MM-DD")</f>
        <v/>
      </c>
      <c r="E271" s="8">
        <f>HOUR(C271)</f>
        <v/>
      </c>
      <c r="F271" s="7" t="inlineStr">
        <is>
          <t>Male</t>
        </is>
      </c>
      <c r="G271" s="8" t="n">
        <v>35</v>
      </c>
      <c r="H271" s="7">
        <f>IF(G271&gt;=60, "Boomer", IF(G271&gt;=45, "Gen X", IF(G271&gt;=25, "Millennial", "Gen Z")))</f>
        <v/>
      </c>
      <c r="I271" s="7" t="inlineStr">
        <is>
          <t>Investment</t>
        </is>
      </c>
      <c r="J271" s="7" t="inlineStr">
        <is>
          <t>Groceries</t>
        </is>
      </c>
      <c r="K271" s="9" t="n">
        <v>3224.1</v>
      </c>
      <c r="L271" s="9" t="n">
        <v>12099.79</v>
      </c>
      <c r="M271" s="7" t="inlineStr">
        <is>
          <t>Online Banking</t>
        </is>
      </c>
      <c r="N271" s="7" t="inlineStr">
        <is>
          <t>N</t>
        </is>
      </c>
      <c r="O271" s="7">
        <f>TEXT(D271, "dddd")</f>
        <v/>
      </c>
      <c r="P271" s="7">
        <f>"Q"&amp;ROUNDUP(MONTH(D271)/3, 0)</f>
        <v/>
      </c>
    </row>
    <row r="272">
      <c r="A272" s="4" t="inlineStr">
        <is>
          <t>TXN100275</t>
        </is>
      </c>
      <c r="B272" s="4" t="inlineStr">
        <is>
          <t>CUST0275</t>
        </is>
      </c>
      <c r="C272" s="4" t="inlineStr">
        <is>
          <t>2026-06-01 01:08:00</t>
        </is>
      </c>
      <c r="D272" s="4">
        <f>TEXT(LEFT(C272,10),"YYYY-MM-DD")</f>
        <v/>
      </c>
      <c r="E272" s="5">
        <f>HOUR(C272)</f>
        <v/>
      </c>
      <c r="F272" s="4" t="inlineStr">
        <is>
          <t>Female</t>
        </is>
      </c>
      <c r="G272" s="5" t="n">
        <v>34</v>
      </c>
      <c r="H272" s="4">
        <f>IF(G272&gt;=60, "Boomer", IF(G272&gt;=45, "Gen X", IF(G272&gt;=25, "Millennial", "Gen Z")))</f>
        <v/>
      </c>
      <c r="I272" s="4" t="inlineStr">
        <is>
          <t>Investment</t>
        </is>
      </c>
      <c r="J272" s="4" t="inlineStr">
        <is>
          <t>Travel</t>
        </is>
      </c>
      <c r="K272" s="6" t="n">
        <v>2558.04</v>
      </c>
      <c r="L272" s="6" t="n">
        <v>30096.92</v>
      </c>
      <c r="M272" s="4" t="inlineStr">
        <is>
          <t>Branch Office</t>
        </is>
      </c>
      <c r="N272" s="4" t="inlineStr">
        <is>
          <t>N</t>
        </is>
      </c>
      <c r="O272" s="4">
        <f>TEXT(D272, "dddd")</f>
        <v/>
      </c>
      <c r="P272" s="4">
        <f>"Q"&amp;ROUNDUP(MONTH(D272)/3, 0)</f>
        <v/>
      </c>
    </row>
    <row r="273">
      <c r="A273" s="7" t="inlineStr">
        <is>
          <t>TXN100276</t>
        </is>
      </c>
      <c r="B273" s="7" t="inlineStr">
        <is>
          <t>CUST0276</t>
        </is>
      </c>
      <c r="C273" s="7" t="inlineStr">
        <is>
          <t>2026-06-01 07:19:00</t>
        </is>
      </c>
      <c r="D273" s="7">
        <f>TEXT(LEFT(C273,10),"YYYY-MM-DD")</f>
        <v/>
      </c>
      <c r="E273" s="8">
        <f>HOUR(C273)</f>
        <v/>
      </c>
      <c r="F273" s="7" t="inlineStr">
        <is>
          <t>Male</t>
        </is>
      </c>
      <c r="G273" s="8" t="n">
        <v>62</v>
      </c>
      <c r="H273" s="7">
        <f>IF(G273&gt;=60, "Boomer", IF(G273&gt;=45, "Gen X", IF(G273&gt;=25, "Millennial", "Gen Z")))</f>
        <v/>
      </c>
      <c r="I273" s="7" t="inlineStr">
        <is>
          <t>Investment</t>
        </is>
      </c>
      <c r="J273" s="7" t="inlineStr">
        <is>
          <t>Groceries</t>
        </is>
      </c>
      <c r="K273" s="9" t="n">
        <v>3314.35</v>
      </c>
      <c r="L273" s="9" t="n">
        <v>14120.12</v>
      </c>
      <c r="M273" s="7" t="inlineStr">
        <is>
          <t>Online Banking</t>
        </is>
      </c>
      <c r="N273" s="7" t="inlineStr">
        <is>
          <t>N</t>
        </is>
      </c>
      <c r="O273" s="7">
        <f>TEXT(D273, "dddd")</f>
        <v/>
      </c>
      <c r="P273" s="7">
        <f>"Q"&amp;ROUNDUP(MONTH(D273)/3, 0)</f>
        <v/>
      </c>
    </row>
    <row r="274">
      <c r="A274" s="4" t="inlineStr">
        <is>
          <t>TXN100277</t>
        </is>
      </c>
      <c r="B274" s="4" t="inlineStr">
        <is>
          <t>CUST0277</t>
        </is>
      </c>
      <c r="C274" s="4" t="inlineStr">
        <is>
          <t>2026-06-01 20:43:00</t>
        </is>
      </c>
      <c r="D274" s="4">
        <f>TEXT(LEFT(C274,10),"YYYY-MM-DD")</f>
        <v/>
      </c>
      <c r="E274" s="5">
        <f>HOUR(C274)</f>
        <v/>
      </c>
      <c r="F274" s="4" t="inlineStr">
        <is>
          <t>Unspecified</t>
        </is>
      </c>
      <c r="G274" s="5" t="n">
        <v>55</v>
      </c>
      <c r="H274" s="4">
        <f>IF(G274&gt;=60, "Boomer", IF(G274&gt;=45, "Gen X", IF(G274&gt;=25, "Millennial", "Gen Z")))</f>
        <v/>
      </c>
      <c r="I274" s="4" t="inlineStr">
        <is>
          <t>Checking</t>
        </is>
      </c>
      <c r="J274" s="4" t="inlineStr">
        <is>
          <t>Groceries</t>
        </is>
      </c>
      <c r="K274" s="6" t="n">
        <v>7778.6</v>
      </c>
      <c r="L274" s="6" t="n">
        <v>47108.53</v>
      </c>
      <c r="M274" s="4" t="inlineStr">
        <is>
          <t>ATM</t>
        </is>
      </c>
      <c r="N274" s="4" t="inlineStr">
        <is>
          <t>Y</t>
        </is>
      </c>
      <c r="O274" s="4">
        <f>TEXT(D274, "dddd")</f>
        <v/>
      </c>
      <c r="P274" s="4">
        <f>"Q"&amp;ROUNDUP(MONTH(D274)/3, 0)</f>
        <v/>
      </c>
    </row>
    <row r="275">
      <c r="A275" s="7" t="inlineStr">
        <is>
          <t>TXN100278</t>
        </is>
      </c>
      <c r="B275" s="7" t="inlineStr">
        <is>
          <t>CUST0278</t>
        </is>
      </c>
      <c r="C275" s="7" t="inlineStr">
        <is>
          <t>2026-06-01 10:44:00</t>
        </is>
      </c>
      <c r="D275" s="7">
        <f>TEXT(LEFT(C275,10),"YYYY-MM-DD")</f>
        <v/>
      </c>
      <c r="E275" s="8">
        <f>HOUR(C275)</f>
        <v/>
      </c>
      <c r="F275" s="7" t="inlineStr">
        <is>
          <t>Unspecified</t>
        </is>
      </c>
      <c r="G275" s="8" t="n">
        <v>46</v>
      </c>
      <c r="H275" s="7">
        <f>IF(G275&gt;=60, "Boomer", IF(G275&gt;=45, "Gen X", IF(G275&gt;=25, "Millennial", "Gen Z")))</f>
        <v/>
      </c>
      <c r="I275" s="7" t="inlineStr">
        <is>
          <t>Savings</t>
        </is>
      </c>
      <c r="J275" s="7" t="inlineStr">
        <is>
          <t>Entertainment</t>
        </is>
      </c>
      <c r="K275" s="9" t="n">
        <v>3017.92</v>
      </c>
      <c r="L275" s="9" t="n">
        <v>37843.6</v>
      </c>
      <c r="M275" s="7" t="inlineStr">
        <is>
          <t>ATM</t>
        </is>
      </c>
      <c r="N275" s="7" t="inlineStr">
        <is>
          <t>N</t>
        </is>
      </c>
      <c r="O275" s="7">
        <f>TEXT(D275, "dddd")</f>
        <v/>
      </c>
      <c r="P275" s="7">
        <f>"Q"&amp;ROUNDUP(MONTH(D275)/3, 0)</f>
        <v/>
      </c>
    </row>
    <row r="276">
      <c r="A276" s="4" t="inlineStr">
        <is>
          <t>TXN100279</t>
        </is>
      </c>
      <c r="B276" s="4" t="inlineStr">
        <is>
          <t>CUST0279</t>
        </is>
      </c>
      <c r="C276" s="4" t="inlineStr">
        <is>
          <t>2026-06-01 07:54:00</t>
        </is>
      </c>
      <c r="D276" s="4">
        <f>TEXT(LEFT(C276,10),"YYYY-MM-DD")</f>
        <v/>
      </c>
      <c r="E276" s="5">
        <f>HOUR(C276)</f>
        <v/>
      </c>
      <c r="F276" s="4" t="inlineStr">
        <is>
          <t>Female</t>
        </is>
      </c>
      <c r="G276" s="5" t="n">
        <v>39</v>
      </c>
      <c r="H276" s="4">
        <f>IF(G276&gt;=60, "Boomer", IF(G276&gt;=45, "Gen X", IF(G276&gt;=25, "Millennial", "Gen Z")))</f>
        <v/>
      </c>
      <c r="I276" s="4" t="inlineStr">
        <is>
          <t>Investment</t>
        </is>
      </c>
      <c r="J276" s="4" t="inlineStr">
        <is>
          <t>Groceries</t>
        </is>
      </c>
      <c r="K276" s="6" t="n">
        <v>6448.15</v>
      </c>
      <c r="L276" s="6" t="n">
        <v>45779.69</v>
      </c>
      <c r="M276" s="4" t="inlineStr">
        <is>
          <t>ATM</t>
        </is>
      </c>
      <c r="N276" s="4" t="inlineStr">
        <is>
          <t>N</t>
        </is>
      </c>
      <c r="O276" s="4">
        <f>TEXT(D276, "dddd")</f>
        <v/>
      </c>
      <c r="P276" s="4">
        <f>"Q"&amp;ROUNDUP(MONTH(D276)/3, 0)</f>
        <v/>
      </c>
    </row>
    <row r="277">
      <c r="A277" s="7" t="inlineStr">
        <is>
          <t>TXN100280</t>
        </is>
      </c>
      <c r="B277" s="7" t="inlineStr">
        <is>
          <t>CUST0280</t>
        </is>
      </c>
      <c r="C277" s="7" t="inlineStr">
        <is>
          <t>2026-06-01 13:35:00</t>
        </is>
      </c>
      <c r="D277" s="7">
        <f>TEXT(LEFT(C277,10),"YYYY-MM-DD")</f>
        <v/>
      </c>
      <c r="E277" s="8">
        <f>HOUR(C277)</f>
        <v/>
      </c>
      <c r="F277" s="7" t="inlineStr">
        <is>
          <t>Male</t>
        </is>
      </c>
      <c r="G277" s="8" t="n">
        <v>44</v>
      </c>
      <c r="H277" s="7">
        <f>IF(G277&gt;=60, "Boomer", IF(G277&gt;=45, "Gen X", IF(G277&gt;=25, "Millennial", "Gen Z")))</f>
        <v/>
      </c>
      <c r="I277" s="7" t="inlineStr">
        <is>
          <t>Savings</t>
        </is>
      </c>
      <c r="J277" s="7" t="inlineStr">
        <is>
          <t>Entertainment</t>
        </is>
      </c>
      <c r="K277" s="9" t="n">
        <v>1634.66</v>
      </c>
      <c r="L277" s="9" t="n">
        <v>32511.94</v>
      </c>
      <c r="M277" s="7" t="inlineStr">
        <is>
          <t>ATM</t>
        </is>
      </c>
      <c r="N277" s="7" t="inlineStr">
        <is>
          <t>N</t>
        </is>
      </c>
      <c r="O277" s="7">
        <f>TEXT(D277, "dddd")</f>
        <v/>
      </c>
      <c r="P277" s="7">
        <f>"Q"&amp;ROUNDUP(MONTH(D277)/3, 0)</f>
        <v/>
      </c>
    </row>
    <row r="278">
      <c r="A278" s="4" t="inlineStr">
        <is>
          <t>TXN100281</t>
        </is>
      </c>
      <c r="B278" s="4" t="inlineStr">
        <is>
          <t>CUST0281</t>
        </is>
      </c>
      <c r="C278" s="4" t="inlineStr">
        <is>
          <t>2026-06-01 11:05:00</t>
        </is>
      </c>
      <c r="D278" s="4">
        <f>TEXT(LEFT(C278,10),"YYYY-MM-DD")</f>
        <v/>
      </c>
      <c r="E278" s="5">
        <f>HOUR(C278)</f>
        <v/>
      </c>
      <c r="F278" s="4" t="inlineStr">
        <is>
          <t>Female</t>
        </is>
      </c>
      <c r="G278" s="5" t="n">
        <v>23</v>
      </c>
      <c r="H278" s="4">
        <f>IF(G278&gt;=60, "Boomer", IF(G278&gt;=45, "Gen X", IF(G278&gt;=25, "Millennial", "Gen Z")))</f>
        <v/>
      </c>
      <c r="I278" s="4" t="inlineStr">
        <is>
          <t>Checking</t>
        </is>
      </c>
      <c r="J278" s="4" t="inlineStr">
        <is>
          <t>Utilities</t>
        </is>
      </c>
      <c r="K278" s="6" t="n">
        <v>5392.64</v>
      </c>
      <c r="L278" s="6" t="n">
        <v>30344.64</v>
      </c>
      <c r="M278" s="4" t="inlineStr">
        <is>
          <t>Mobile App</t>
        </is>
      </c>
      <c r="N278" s="4" t="inlineStr">
        <is>
          <t>N</t>
        </is>
      </c>
      <c r="O278" s="4">
        <f>TEXT(D278, "dddd")</f>
        <v/>
      </c>
      <c r="P278" s="4">
        <f>"Q"&amp;ROUNDUP(MONTH(D278)/3, 0)</f>
        <v/>
      </c>
    </row>
    <row r="279">
      <c r="A279" s="7" t="inlineStr">
        <is>
          <t>TXN100282</t>
        </is>
      </c>
      <c r="B279" s="7" t="inlineStr">
        <is>
          <t>CUST0282</t>
        </is>
      </c>
      <c r="C279" s="7" t="inlineStr">
        <is>
          <t>2026-06-01 06:51:00</t>
        </is>
      </c>
      <c r="D279" s="7">
        <f>TEXT(LEFT(C279,10),"YYYY-MM-DD")</f>
        <v/>
      </c>
      <c r="E279" s="8">
        <f>HOUR(C279)</f>
        <v/>
      </c>
      <c r="F279" s="7" t="inlineStr">
        <is>
          <t>Female</t>
        </is>
      </c>
      <c r="G279" s="8" t="n">
        <v>50</v>
      </c>
      <c r="H279" s="7">
        <f>IF(G279&gt;=60, "Boomer", IF(G279&gt;=45, "Gen X", IF(G279&gt;=25, "Millennial", "Gen Z")))</f>
        <v/>
      </c>
      <c r="I279" s="7" t="inlineStr">
        <is>
          <t>Savings</t>
        </is>
      </c>
      <c r="J279" s="7" t="inlineStr">
        <is>
          <t>Entertainment</t>
        </is>
      </c>
      <c r="K279" s="9" t="n">
        <v>2432.47</v>
      </c>
      <c r="L279" s="9" t="n">
        <v>45495.21</v>
      </c>
      <c r="M279" s="7" t="inlineStr">
        <is>
          <t>Online Banking</t>
        </is>
      </c>
      <c r="N279" s="7" t="inlineStr">
        <is>
          <t>N</t>
        </is>
      </c>
      <c r="O279" s="7">
        <f>TEXT(D279, "dddd")</f>
        <v/>
      </c>
      <c r="P279" s="7">
        <f>"Q"&amp;ROUNDUP(MONTH(D279)/3, 0)</f>
        <v/>
      </c>
    </row>
    <row r="280">
      <c r="A280" s="4" t="inlineStr">
        <is>
          <t>TXN100283</t>
        </is>
      </c>
      <c r="B280" s="4" t="inlineStr">
        <is>
          <t>CUST0283</t>
        </is>
      </c>
      <c r="C280" s="4" t="inlineStr">
        <is>
          <t>2026-06-01 06:47:00</t>
        </is>
      </c>
      <c r="D280" s="4">
        <f>TEXT(LEFT(C280,10),"YYYY-MM-DD")</f>
        <v/>
      </c>
      <c r="E280" s="5">
        <f>HOUR(C280)</f>
        <v/>
      </c>
      <c r="F280" s="4" t="inlineStr">
        <is>
          <t>Male</t>
        </is>
      </c>
      <c r="G280" s="5" t="n">
        <v>67</v>
      </c>
      <c r="H280" s="4">
        <f>IF(G280&gt;=60, "Boomer", IF(G280&gt;=45, "Gen X", IF(G280&gt;=25, "Millennial", "Gen Z")))</f>
        <v/>
      </c>
      <c r="I280" s="4" t="inlineStr">
        <is>
          <t>Checking</t>
        </is>
      </c>
      <c r="J280" s="4" t="inlineStr">
        <is>
          <t>Groceries</t>
        </is>
      </c>
      <c r="K280" s="6" t="n">
        <v>5568.05</v>
      </c>
      <c r="L280" s="6" t="n">
        <v>35336.54</v>
      </c>
      <c r="M280" s="4" t="inlineStr">
        <is>
          <t>ATM</t>
        </is>
      </c>
      <c r="N280" s="4" t="inlineStr">
        <is>
          <t>N</t>
        </is>
      </c>
      <c r="O280" s="4">
        <f>TEXT(D280, "dddd")</f>
        <v/>
      </c>
      <c r="P280" s="4">
        <f>"Q"&amp;ROUNDUP(MONTH(D280)/3, 0)</f>
        <v/>
      </c>
    </row>
    <row r="281">
      <c r="A281" s="7" t="inlineStr">
        <is>
          <t>TXN100284</t>
        </is>
      </c>
      <c r="B281" s="7" t="inlineStr">
        <is>
          <t>CUST0284</t>
        </is>
      </c>
      <c r="C281" s="7" t="inlineStr">
        <is>
          <t>2026-06-01 07:35:00</t>
        </is>
      </c>
      <c r="D281" s="7">
        <f>TEXT(LEFT(C281,10),"YYYY-MM-DD")</f>
        <v/>
      </c>
      <c r="E281" s="8">
        <f>HOUR(C281)</f>
        <v/>
      </c>
      <c r="F281" s="7" t="inlineStr">
        <is>
          <t>Female</t>
        </is>
      </c>
      <c r="G281" s="8" t="n">
        <v>69</v>
      </c>
      <c r="H281" s="7">
        <f>IF(G281&gt;=60, "Boomer", IF(G281&gt;=45, "Gen X", IF(G281&gt;=25, "Millennial", "Gen Z")))</f>
        <v/>
      </c>
      <c r="I281" s="7" t="inlineStr">
        <is>
          <t>Checking</t>
        </is>
      </c>
      <c r="J281" s="7" t="inlineStr">
        <is>
          <t>Utilities</t>
        </is>
      </c>
      <c r="K281" s="9" t="n">
        <v>3735.34</v>
      </c>
      <c r="L281" s="9" t="n">
        <v>32611.71</v>
      </c>
      <c r="M281" s="7" t="inlineStr">
        <is>
          <t>Branch Office</t>
        </is>
      </c>
      <c r="N281" s="7" t="inlineStr">
        <is>
          <t>N</t>
        </is>
      </c>
      <c r="O281" s="7">
        <f>TEXT(D281, "dddd")</f>
        <v/>
      </c>
      <c r="P281" s="7">
        <f>"Q"&amp;ROUNDUP(MONTH(D281)/3, 0)</f>
        <v/>
      </c>
    </row>
    <row r="282">
      <c r="A282" s="4" t="inlineStr">
        <is>
          <t>TXN100285</t>
        </is>
      </c>
      <c r="B282" s="4" t="inlineStr">
        <is>
          <t>CUST0285</t>
        </is>
      </c>
      <c r="C282" s="4" t="inlineStr">
        <is>
          <t>2026-06-01 08:23:00</t>
        </is>
      </c>
      <c r="D282" s="4">
        <f>TEXT(LEFT(C282,10),"YYYY-MM-DD")</f>
        <v/>
      </c>
      <c r="E282" s="5">
        <f>HOUR(C282)</f>
        <v/>
      </c>
      <c r="F282" s="4" t="inlineStr">
        <is>
          <t>Unspecified</t>
        </is>
      </c>
      <c r="G282" s="5" t="n">
        <v>49</v>
      </c>
      <c r="H282" s="4">
        <f>IF(G282&gt;=60, "Boomer", IF(G282&gt;=45, "Gen X", IF(G282&gt;=25, "Millennial", "Gen Z")))</f>
        <v/>
      </c>
      <c r="I282" s="4" t="inlineStr">
        <is>
          <t>Savings</t>
        </is>
      </c>
      <c r="J282" s="4" t="inlineStr">
        <is>
          <t>Utilities</t>
        </is>
      </c>
      <c r="K282" s="6" t="n">
        <v>6095.42</v>
      </c>
      <c r="L282" s="6" t="n">
        <v>16351.55</v>
      </c>
      <c r="M282" s="4" t="inlineStr">
        <is>
          <t>Online Banking</t>
        </is>
      </c>
      <c r="N282" s="4" t="inlineStr">
        <is>
          <t>N</t>
        </is>
      </c>
      <c r="O282" s="4">
        <f>TEXT(D282, "dddd")</f>
        <v/>
      </c>
      <c r="P282" s="4">
        <f>"Q"&amp;ROUNDUP(MONTH(D282)/3, 0)</f>
        <v/>
      </c>
    </row>
    <row r="283">
      <c r="A283" s="7" t="inlineStr">
        <is>
          <t>TXN100286</t>
        </is>
      </c>
      <c r="B283" s="7" t="inlineStr">
        <is>
          <t>CUST0286</t>
        </is>
      </c>
      <c r="C283" s="7" t="inlineStr">
        <is>
          <t>2026-06-01 11:20:00</t>
        </is>
      </c>
      <c r="D283" s="7">
        <f>TEXT(LEFT(C283,10),"YYYY-MM-DD")</f>
        <v/>
      </c>
      <c r="E283" s="8">
        <f>HOUR(C283)</f>
        <v/>
      </c>
      <c r="F283" s="7" t="inlineStr">
        <is>
          <t>Unspecified</t>
        </is>
      </c>
      <c r="G283" s="8" t="n">
        <v>22</v>
      </c>
      <c r="H283" s="7">
        <f>IF(G283&gt;=60, "Boomer", IF(G283&gt;=45, "Gen X", IF(G283&gt;=25, "Millennial", "Gen Z")))</f>
        <v/>
      </c>
      <c r="I283" s="7" t="inlineStr">
        <is>
          <t>Investment</t>
        </is>
      </c>
      <c r="J283" s="7" t="inlineStr">
        <is>
          <t>Groceries</t>
        </is>
      </c>
      <c r="K283" s="9" t="n">
        <v>5932.61</v>
      </c>
      <c r="L283" s="9" t="n">
        <v>1302.89</v>
      </c>
      <c r="M283" s="7" t="inlineStr">
        <is>
          <t>ATM</t>
        </is>
      </c>
      <c r="N283" s="7" t="inlineStr">
        <is>
          <t>N</t>
        </is>
      </c>
      <c r="O283" s="7">
        <f>TEXT(D283, "dddd")</f>
        <v/>
      </c>
      <c r="P283" s="7">
        <f>"Q"&amp;ROUNDUP(MONTH(D283)/3, 0)</f>
        <v/>
      </c>
    </row>
    <row r="284">
      <c r="A284" s="4" t="inlineStr">
        <is>
          <t>TXN100287</t>
        </is>
      </c>
      <c r="B284" s="4" t="inlineStr">
        <is>
          <t>CUST0287</t>
        </is>
      </c>
      <c r="C284" s="4" t="inlineStr">
        <is>
          <t>2026-06-01 09:09:00</t>
        </is>
      </c>
      <c r="D284" s="4">
        <f>TEXT(LEFT(C284,10),"YYYY-MM-DD")</f>
        <v/>
      </c>
      <c r="E284" s="5">
        <f>HOUR(C284)</f>
        <v/>
      </c>
      <c r="F284" s="4" t="inlineStr">
        <is>
          <t>Female</t>
        </is>
      </c>
      <c r="G284" s="5" t="n">
        <v>41</v>
      </c>
      <c r="H284" s="4">
        <f>IF(G284&gt;=60, "Boomer", IF(G284&gt;=45, "Gen X", IF(G284&gt;=25, "Millennial", "Gen Z")))</f>
        <v/>
      </c>
      <c r="I284" s="4" t="inlineStr">
        <is>
          <t>Savings</t>
        </is>
      </c>
      <c r="J284" s="4" t="inlineStr">
        <is>
          <t>Utilities</t>
        </is>
      </c>
      <c r="K284" s="6" t="n">
        <v>4562.62</v>
      </c>
      <c r="L284" s="6" t="n">
        <v>12663.64</v>
      </c>
      <c r="M284" s="4" t="inlineStr">
        <is>
          <t>Branch Office</t>
        </is>
      </c>
      <c r="N284" s="4" t="inlineStr">
        <is>
          <t>N</t>
        </is>
      </c>
      <c r="O284" s="4">
        <f>TEXT(D284, "dddd")</f>
        <v/>
      </c>
      <c r="P284" s="4">
        <f>"Q"&amp;ROUNDUP(MONTH(D284)/3, 0)</f>
        <v/>
      </c>
    </row>
    <row r="285">
      <c r="A285" s="7" t="inlineStr">
        <is>
          <t>TXN100288</t>
        </is>
      </c>
      <c r="B285" s="7" t="inlineStr">
        <is>
          <t>CUST0288</t>
        </is>
      </c>
      <c r="C285" s="7" t="inlineStr">
        <is>
          <t>2026-06-01 08:48:00</t>
        </is>
      </c>
      <c r="D285" s="7">
        <f>TEXT(LEFT(C285,10),"YYYY-MM-DD")</f>
        <v/>
      </c>
      <c r="E285" s="8">
        <f>HOUR(C285)</f>
        <v/>
      </c>
      <c r="F285" s="7" t="inlineStr">
        <is>
          <t>Unspecified</t>
        </is>
      </c>
      <c r="G285" s="8" t="n">
        <v>66</v>
      </c>
      <c r="H285" s="7">
        <f>IF(G285&gt;=60, "Boomer", IF(G285&gt;=45, "Gen X", IF(G285&gt;=25, "Millennial", "Gen Z")))</f>
        <v/>
      </c>
      <c r="I285" s="7" t="inlineStr">
        <is>
          <t>Investment</t>
        </is>
      </c>
      <c r="J285" s="7" t="inlineStr">
        <is>
          <t>Utilities</t>
        </is>
      </c>
      <c r="K285" s="9" t="n">
        <v>3692.02</v>
      </c>
      <c r="L285" s="9" t="n">
        <v>36772.23</v>
      </c>
      <c r="M285" s="7" t="inlineStr">
        <is>
          <t>Branch Office</t>
        </is>
      </c>
      <c r="N285" s="7" t="inlineStr">
        <is>
          <t>N</t>
        </is>
      </c>
      <c r="O285" s="7">
        <f>TEXT(D285, "dddd")</f>
        <v/>
      </c>
      <c r="P285" s="7">
        <f>"Q"&amp;ROUNDUP(MONTH(D285)/3, 0)</f>
        <v/>
      </c>
    </row>
    <row r="286">
      <c r="A286" s="4" t="inlineStr">
        <is>
          <t>TXN100289</t>
        </is>
      </c>
      <c r="B286" s="4" t="inlineStr">
        <is>
          <t>CUST0289</t>
        </is>
      </c>
      <c r="C286" s="4" t="inlineStr">
        <is>
          <t>2026-06-01 05:08:00</t>
        </is>
      </c>
      <c r="D286" s="4">
        <f>TEXT(LEFT(C286,10),"YYYY-MM-DD")</f>
        <v/>
      </c>
      <c r="E286" s="5">
        <f>HOUR(C286)</f>
        <v/>
      </c>
      <c r="F286" s="4" t="inlineStr">
        <is>
          <t>Unspecified</t>
        </is>
      </c>
      <c r="G286" s="5" t="n">
        <v>31</v>
      </c>
      <c r="H286" s="4">
        <f>IF(G286&gt;=60, "Boomer", IF(G286&gt;=45, "Gen X", IF(G286&gt;=25, "Millennial", "Gen Z")))</f>
        <v/>
      </c>
      <c r="I286" s="4" t="inlineStr">
        <is>
          <t>Investment</t>
        </is>
      </c>
      <c r="J286" s="4" t="inlineStr">
        <is>
          <t>Groceries</t>
        </is>
      </c>
      <c r="K286" s="6" t="n">
        <v>4196.32</v>
      </c>
      <c r="L286" s="6" t="n">
        <v>42033.89</v>
      </c>
      <c r="M286" s="4" t="inlineStr">
        <is>
          <t>Mobile App</t>
        </is>
      </c>
      <c r="N286" s="4" t="inlineStr">
        <is>
          <t>N</t>
        </is>
      </c>
      <c r="O286" s="4">
        <f>TEXT(D286, "dddd")</f>
        <v/>
      </c>
      <c r="P286" s="4">
        <f>"Q"&amp;ROUNDUP(MONTH(D286)/3, 0)</f>
        <v/>
      </c>
    </row>
    <row r="287">
      <c r="A287" s="7" t="inlineStr">
        <is>
          <t>TXN100290</t>
        </is>
      </c>
      <c r="B287" s="7" t="inlineStr">
        <is>
          <t>CUST0290</t>
        </is>
      </c>
      <c r="C287" s="7" t="inlineStr">
        <is>
          <t>2026-06-01 21:03:00</t>
        </is>
      </c>
      <c r="D287" s="7">
        <f>TEXT(LEFT(C287,10),"YYYY-MM-DD")</f>
        <v/>
      </c>
      <c r="E287" s="8">
        <f>HOUR(C287)</f>
        <v/>
      </c>
      <c r="F287" s="7" t="inlineStr">
        <is>
          <t>Male</t>
        </is>
      </c>
      <c r="G287" s="8" t="n">
        <v>46</v>
      </c>
      <c r="H287" s="7">
        <f>IF(G287&gt;=60, "Boomer", IF(G287&gt;=45, "Gen X", IF(G287&gt;=25, "Millennial", "Gen Z")))</f>
        <v/>
      </c>
      <c r="I287" s="7" t="inlineStr">
        <is>
          <t>Savings</t>
        </is>
      </c>
      <c r="J287" s="7" t="inlineStr">
        <is>
          <t>Groceries</t>
        </is>
      </c>
      <c r="K287" s="9" t="n">
        <v>553.0599999999999</v>
      </c>
      <c r="L287" s="9" t="n">
        <v>7975.97</v>
      </c>
      <c r="M287" s="7" t="inlineStr">
        <is>
          <t>Online Banking</t>
        </is>
      </c>
      <c r="N287" s="7" t="inlineStr">
        <is>
          <t>N</t>
        </is>
      </c>
      <c r="O287" s="7">
        <f>TEXT(D287, "dddd")</f>
        <v/>
      </c>
      <c r="P287" s="7">
        <f>"Q"&amp;ROUNDUP(MONTH(D287)/3, 0)</f>
        <v/>
      </c>
    </row>
    <row r="288">
      <c r="A288" s="4" t="inlineStr">
        <is>
          <t>TXN100291</t>
        </is>
      </c>
      <c r="B288" s="4" t="inlineStr">
        <is>
          <t>CUST0291</t>
        </is>
      </c>
      <c r="C288" s="4" t="inlineStr">
        <is>
          <t>2026-06-01 16:29:00</t>
        </is>
      </c>
      <c r="D288" s="4">
        <f>TEXT(LEFT(C288,10),"YYYY-MM-DD")</f>
        <v/>
      </c>
      <c r="E288" s="5">
        <f>HOUR(C288)</f>
        <v/>
      </c>
      <c r="F288" s="4" t="inlineStr">
        <is>
          <t>Female</t>
        </is>
      </c>
      <c r="G288" s="5" t="n">
        <v>23</v>
      </c>
      <c r="H288" s="4">
        <f>IF(G288&gt;=60, "Boomer", IF(G288&gt;=45, "Gen X", IF(G288&gt;=25, "Millennial", "Gen Z")))</f>
        <v/>
      </c>
      <c r="I288" s="4" t="inlineStr">
        <is>
          <t>Investment</t>
        </is>
      </c>
      <c r="J288" s="4" t="inlineStr">
        <is>
          <t>Travel</t>
        </is>
      </c>
      <c r="K288" s="6" t="n">
        <v>7302.88</v>
      </c>
      <c r="L288" s="6" t="n">
        <v>33134.57</v>
      </c>
      <c r="M288" s="4" t="inlineStr">
        <is>
          <t>Mobile App</t>
        </is>
      </c>
      <c r="N288" s="4" t="inlineStr">
        <is>
          <t>N</t>
        </is>
      </c>
      <c r="O288" s="4">
        <f>TEXT(D288, "dddd")</f>
        <v/>
      </c>
      <c r="P288" s="4">
        <f>"Q"&amp;ROUNDUP(MONTH(D288)/3, 0)</f>
        <v/>
      </c>
    </row>
    <row r="289">
      <c r="A289" s="7" t="inlineStr">
        <is>
          <t>TXN100292</t>
        </is>
      </c>
      <c r="B289" s="7" t="inlineStr">
        <is>
          <t>CUST0292</t>
        </is>
      </c>
      <c r="C289" s="7" t="inlineStr">
        <is>
          <t>2026-06-01 17:26:00</t>
        </is>
      </c>
      <c r="D289" s="7">
        <f>TEXT(LEFT(C289,10),"YYYY-MM-DD")</f>
        <v/>
      </c>
      <c r="E289" s="8">
        <f>HOUR(C289)</f>
        <v/>
      </c>
      <c r="F289" s="7" t="inlineStr">
        <is>
          <t>Male</t>
        </is>
      </c>
      <c r="G289" s="8" t="n">
        <v>21</v>
      </c>
      <c r="H289" s="7">
        <f>IF(G289&gt;=60, "Boomer", IF(G289&gt;=45, "Gen X", IF(G289&gt;=25, "Millennial", "Gen Z")))</f>
        <v/>
      </c>
      <c r="I289" s="7" t="inlineStr">
        <is>
          <t>Investment</t>
        </is>
      </c>
      <c r="J289" s="7" t="inlineStr">
        <is>
          <t>Entertainment</t>
        </is>
      </c>
      <c r="K289" s="9" t="n">
        <v>4290.55</v>
      </c>
      <c r="L289" s="9" t="n">
        <v>14691.08</v>
      </c>
      <c r="M289" s="7" t="inlineStr">
        <is>
          <t>ATM</t>
        </is>
      </c>
      <c r="N289" s="7" t="inlineStr">
        <is>
          <t>N</t>
        </is>
      </c>
      <c r="O289" s="7">
        <f>TEXT(D289, "dddd")</f>
        <v/>
      </c>
      <c r="P289" s="7">
        <f>"Q"&amp;ROUNDUP(MONTH(D289)/3, 0)</f>
        <v/>
      </c>
    </row>
    <row r="290">
      <c r="A290" s="4" t="inlineStr">
        <is>
          <t>TXN100293</t>
        </is>
      </c>
      <c r="B290" s="4" t="inlineStr">
        <is>
          <t>CUST0293</t>
        </is>
      </c>
      <c r="C290" s="4" t="inlineStr">
        <is>
          <t>2026-06-01 05:06:00</t>
        </is>
      </c>
      <c r="D290" s="4">
        <f>TEXT(LEFT(C290,10),"YYYY-MM-DD")</f>
        <v/>
      </c>
      <c r="E290" s="5">
        <f>HOUR(C290)</f>
        <v/>
      </c>
      <c r="F290" s="4" t="inlineStr">
        <is>
          <t>Male</t>
        </is>
      </c>
      <c r="G290" s="5" t="n">
        <v>53</v>
      </c>
      <c r="H290" s="4">
        <f>IF(G290&gt;=60, "Boomer", IF(G290&gt;=45, "Gen X", IF(G290&gt;=25, "Millennial", "Gen Z")))</f>
        <v/>
      </c>
      <c r="I290" s="4" t="inlineStr">
        <is>
          <t>Savings</t>
        </is>
      </c>
      <c r="J290" s="4" t="inlineStr">
        <is>
          <t>Groceries</t>
        </is>
      </c>
      <c r="K290" s="6" t="n">
        <v>1543.54</v>
      </c>
      <c r="L290" s="6" t="n">
        <v>26559.57</v>
      </c>
      <c r="M290" s="4" t="inlineStr">
        <is>
          <t>Branch Office</t>
        </is>
      </c>
      <c r="N290" s="4" t="inlineStr">
        <is>
          <t>N</t>
        </is>
      </c>
      <c r="O290" s="4">
        <f>TEXT(D290, "dddd")</f>
        <v/>
      </c>
      <c r="P290" s="4">
        <f>"Q"&amp;ROUNDUP(MONTH(D290)/3, 0)</f>
        <v/>
      </c>
    </row>
    <row r="291">
      <c r="A291" s="7" t="inlineStr">
        <is>
          <t>TXN100294</t>
        </is>
      </c>
      <c r="B291" s="7" t="inlineStr">
        <is>
          <t>CUST0294</t>
        </is>
      </c>
      <c r="C291" s="7" t="inlineStr">
        <is>
          <t>2026-06-01 08:50:00</t>
        </is>
      </c>
      <c r="D291" s="7">
        <f>TEXT(LEFT(C291,10),"YYYY-MM-DD")</f>
        <v/>
      </c>
      <c r="E291" s="8">
        <f>HOUR(C291)</f>
        <v/>
      </c>
      <c r="F291" s="7" t="inlineStr">
        <is>
          <t>Unspecified</t>
        </is>
      </c>
      <c r="G291" s="8" t="n">
        <v>25</v>
      </c>
      <c r="H291" s="7">
        <f>IF(G291&gt;=60, "Boomer", IF(G291&gt;=45, "Gen X", IF(G291&gt;=25, "Millennial", "Gen Z")))</f>
        <v/>
      </c>
      <c r="I291" s="7" t="inlineStr">
        <is>
          <t>Checking</t>
        </is>
      </c>
      <c r="J291" s="7" t="inlineStr">
        <is>
          <t>Utilities</t>
        </is>
      </c>
      <c r="K291" s="9" t="n">
        <v>3677.39</v>
      </c>
      <c r="L291" s="9" t="n">
        <v>12538.79</v>
      </c>
      <c r="M291" s="7" t="inlineStr">
        <is>
          <t>Online Banking</t>
        </is>
      </c>
      <c r="N291" s="7" t="inlineStr">
        <is>
          <t>N</t>
        </is>
      </c>
      <c r="O291" s="7">
        <f>TEXT(D291, "dddd")</f>
        <v/>
      </c>
      <c r="P291" s="7">
        <f>"Q"&amp;ROUNDUP(MONTH(D291)/3, 0)</f>
        <v/>
      </c>
    </row>
    <row r="292">
      <c r="A292" s="4" t="inlineStr">
        <is>
          <t>TXN100295</t>
        </is>
      </c>
      <c r="B292" s="4" t="inlineStr">
        <is>
          <t>CUST0295</t>
        </is>
      </c>
      <c r="C292" s="4" t="inlineStr">
        <is>
          <t>2026-06-01 09:43:00</t>
        </is>
      </c>
      <c r="D292" s="4">
        <f>TEXT(LEFT(C292,10),"YYYY-MM-DD")</f>
        <v/>
      </c>
      <c r="E292" s="5">
        <f>HOUR(C292)</f>
        <v/>
      </c>
      <c r="F292" s="4" t="inlineStr">
        <is>
          <t>Male</t>
        </is>
      </c>
      <c r="G292" s="5" t="n">
        <v>61</v>
      </c>
      <c r="H292" s="4">
        <f>IF(G292&gt;=60, "Boomer", IF(G292&gt;=45, "Gen X", IF(G292&gt;=25, "Millennial", "Gen Z")))</f>
        <v/>
      </c>
      <c r="I292" s="4" t="inlineStr">
        <is>
          <t>Investment</t>
        </is>
      </c>
      <c r="J292" s="4" t="inlineStr">
        <is>
          <t>Groceries</t>
        </is>
      </c>
      <c r="K292" s="6" t="n">
        <v>757.0700000000001</v>
      </c>
      <c r="L292" s="6" t="n">
        <v>19273.57</v>
      </c>
      <c r="M292" s="4" t="inlineStr">
        <is>
          <t>ATM</t>
        </is>
      </c>
      <c r="N292" s="4" t="inlineStr">
        <is>
          <t>N</t>
        </is>
      </c>
      <c r="O292" s="4">
        <f>TEXT(D292, "dddd")</f>
        <v/>
      </c>
      <c r="P292" s="4">
        <f>"Q"&amp;ROUNDUP(MONTH(D292)/3, 0)</f>
        <v/>
      </c>
    </row>
    <row r="293">
      <c r="A293" s="7" t="inlineStr">
        <is>
          <t>TXN100296</t>
        </is>
      </c>
      <c r="B293" s="7" t="inlineStr">
        <is>
          <t>CUST0296</t>
        </is>
      </c>
      <c r="C293" s="7" t="inlineStr">
        <is>
          <t>2026-06-01 01:40:00</t>
        </is>
      </c>
      <c r="D293" s="7">
        <f>TEXT(LEFT(C293,10),"YYYY-MM-DD")</f>
        <v/>
      </c>
      <c r="E293" s="8">
        <f>HOUR(C293)</f>
        <v/>
      </c>
      <c r="F293" s="7" t="inlineStr">
        <is>
          <t>Male</t>
        </is>
      </c>
      <c r="G293" s="8" t="n">
        <v>64</v>
      </c>
      <c r="H293" s="7">
        <f>IF(G293&gt;=60, "Boomer", IF(G293&gt;=45, "Gen X", IF(G293&gt;=25, "Millennial", "Gen Z")))</f>
        <v/>
      </c>
      <c r="I293" s="7" t="inlineStr">
        <is>
          <t>Savings</t>
        </is>
      </c>
      <c r="J293" s="7" t="inlineStr">
        <is>
          <t>Groceries</t>
        </is>
      </c>
      <c r="K293" s="9" t="n">
        <v>4003.87</v>
      </c>
      <c r="L293" s="9" t="n">
        <v>21978.53</v>
      </c>
      <c r="M293" s="7" t="inlineStr">
        <is>
          <t>Branch Office</t>
        </is>
      </c>
      <c r="N293" s="7" t="inlineStr">
        <is>
          <t>N</t>
        </is>
      </c>
      <c r="O293" s="7">
        <f>TEXT(D293, "dddd")</f>
        <v/>
      </c>
      <c r="P293" s="7">
        <f>"Q"&amp;ROUNDUP(MONTH(D293)/3, 0)</f>
        <v/>
      </c>
    </row>
    <row r="294">
      <c r="A294" s="4" t="inlineStr">
        <is>
          <t>TXN100297</t>
        </is>
      </c>
      <c r="B294" s="4" t="inlineStr">
        <is>
          <t>CUST0297</t>
        </is>
      </c>
      <c r="C294" s="4" t="inlineStr">
        <is>
          <t>2026-06-01 18:54:00</t>
        </is>
      </c>
      <c r="D294" s="4">
        <f>TEXT(LEFT(C294,10),"YYYY-MM-DD")</f>
        <v/>
      </c>
      <c r="E294" s="5">
        <f>HOUR(C294)</f>
        <v/>
      </c>
      <c r="F294" s="4" t="inlineStr">
        <is>
          <t>Male</t>
        </is>
      </c>
      <c r="G294" s="5" t="n">
        <v>53</v>
      </c>
      <c r="H294" s="4">
        <f>IF(G294&gt;=60, "Boomer", IF(G294&gt;=45, "Gen X", IF(G294&gt;=25, "Millennial", "Gen Z")))</f>
        <v/>
      </c>
      <c r="I294" s="4" t="inlineStr">
        <is>
          <t>Savings</t>
        </is>
      </c>
      <c r="J294" s="4" t="inlineStr">
        <is>
          <t>Groceries</t>
        </is>
      </c>
      <c r="K294" s="6" t="n">
        <v>1699.22</v>
      </c>
      <c r="L294" s="6" t="n">
        <v>43471.79</v>
      </c>
      <c r="M294" s="4" t="inlineStr">
        <is>
          <t>ATM</t>
        </is>
      </c>
      <c r="N294" s="4" t="inlineStr">
        <is>
          <t>N</t>
        </is>
      </c>
      <c r="O294" s="4">
        <f>TEXT(D294, "dddd")</f>
        <v/>
      </c>
      <c r="P294" s="4">
        <f>"Q"&amp;ROUNDUP(MONTH(D294)/3, 0)</f>
        <v/>
      </c>
    </row>
    <row r="295">
      <c r="A295" s="7" t="inlineStr">
        <is>
          <t>TXN100298</t>
        </is>
      </c>
      <c r="B295" s="7" t="inlineStr">
        <is>
          <t>CUST0298</t>
        </is>
      </c>
      <c r="C295" s="7" t="inlineStr">
        <is>
          <t>2026-06-01 08:02:00</t>
        </is>
      </c>
      <c r="D295" s="7">
        <f>TEXT(LEFT(C295,10),"YYYY-MM-DD")</f>
        <v/>
      </c>
      <c r="E295" s="8">
        <f>HOUR(C295)</f>
        <v/>
      </c>
      <c r="F295" s="7" t="inlineStr">
        <is>
          <t>Male</t>
        </is>
      </c>
      <c r="G295" s="8" t="n">
        <v>63</v>
      </c>
      <c r="H295" s="7">
        <f>IF(G295&gt;=60, "Boomer", IF(G295&gt;=45, "Gen X", IF(G295&gt;=25, "Millennial", "Gen Z")))</f>
        <v/>
      </c>
      <c r="I295" s="7" t="inlineStr">
        <is>
          <t>Checking</t>
        </is>
      </c>
      <c r="J295" s="7" t="inlineStr">
        <is>
          <t>Travel</t>
        </is>
      </c>
      <c r="K295" s="9" t="n">
        <v>4512.44</v>
      </c>
      <c r="L295" s="9" t="n">
        <v>2128.64</v>
      </c>
      <c r="M295" s="7" t="inlineStr">
        <is>
          <t>Branch Office</t>
        </is>
      </c>
      <c r="N295" s="7" t="inlineStr">
        <is>
          <t>N</t>
        </is>
      </c>
      <c r="O295" s="7">
        <f>TEXT(D295, "dddd")</f>
        <v/>
      </c>
      <c r="P295" s="7">
        <f>"Q"&amp;ROUNDUP(MONTH(D295)/3, 0)</f>
        <v/>
      </c>
    </row>
    <row r="296">
      <c r="A296" s="4" t="inlineStr">
        <is>
          <t>TXN100299</t>
        </is>
      </c>
      <c r="B296" s="4" t="inlineStr">
        <is>
          <t>CUST0299</t>
        </is>
      </c>
      <c r="C296" s="4" t="inlineStr">
        <is>
          <t>2026-06-01 00:13:00</t>
        </is>
      </c>
      <c r="D296" s="4">
        <f>TEXT(LEFT(C296,10),"YYYY-MM-DD")</f>
        <v/>
      </c>
      <c r="E296" s="5">
        <f>HOUR(C296)</f>
        <v/>
      </c>
      <c r="F296" s="4" t="inlineStr">
        <is>
          <t>Male</t>
        </is>
      </c>
      <c r="G296" s="5" t="n">
        <v>68</v>
      </c>
      <c r="H296" s="4">
        <f>IF(G296&gt;=60, "Boomer", IF(G296&gt;=45, "Gen X", IF(G296&gt;=25, "Millennial", "Gen Z")))</f>
        <v/>
      </c>
      <c r="I296" s="4" t="inlineStr">
        <is>
          <t>Investment</t>
        </is>
      </c>
      <c r="J296" s="4" t="inlineStr">
        <is>
          <t>Utilities</t>
        </is>
      </c>
      <c r="K296" s="6" t="n">
        <v>7431.71</v>
      </c>
      <c r="L296" s="6" t="n">
        <v>15314.21</v>
      </c>
      <c r="M296" s="4" t="inlineStr">
        <is>
          <t>Online Banking</t>
        </is>
      </c>
      <c r="N296" s="4" t="inlineStr">
        <is>
          <t>Y</t>
        </is>
      </c>
      <c r="O296" s="4">
        <f>TEXT(D296, "dddd")</f>
        <v/>
      </c>
      <c r="P296" s="4">
        <f>"Q"&amp;ROUNDUP(MONTH(D296)/3, 0)</f>
        <v/>
      </c>
    </row>
    <row r="297">
      <c r="A297" s="7" t="inlineStr">
        <is>
          <t>TXN100300</t>
        </is>
      </c>
      <c r="B297" s="7" t="inlineStr">
        <is>
          <t>CUST0300</t>
        </is>
      </c>
      <c r="C297" s="7" t="inlineStr">
        <is>
          <t>2026-06-01 12:43:00</t>
        </is>
      </c>
      <c r="D297" s="7">
        <f>TEXT(LEFT(C297,10),"YYYY-MM-DD")</f>
        <v/>
      </c>
      <c r="E297" s="8">
        <f>HOUR(C297)</f>
        <v/>
      </c>
      <c r="F297" s="7" t="inlineStr">
        <is>
          <t>Female</t>
        </is>
      </c>
      <c r="G297" s="8" t="n">
        <v>44</v>
      </c>
      <c r="H297" s="7">
        <f>IF(G297&gt;=60, "Boomer", IF(G297&gt;=45, "Gen X", IF(G297&gt;=25, "Millennial", "Gen Z")))</f>
        <v/>
      </c>
      <c r="I297" s="7" t="inlineStr">
        <is>
          <t>Investment</t>
        </is>
      </c>
      <c r="J297" s="7" t="inlineStr">
        <is>
          <t>Groceries</t>
        </is>
      </c>
      <c r="K297" s="9" t="n">
        <v>6326.08</v>
      </c>
      <c r="L297" s="9" t="n">
        <v>34620.87</v>
      </c>
      <c r="M297" s="7" t="inlineStr">
        <is>
          <t>Mobile App</t>
        </is>
      </c>
      <c r="N297" s="7" t="inlineStr">
        <is>
          <t>N</t>
        </is>
      </c>
      <c r="O297" s="7">
        <f>TEXT(D297, "dddd")</f>
        <v/>
      </c>
      <c r="P297" s="7">
        <f>"Q"&amp;ROUNDUP(MONTH(D297)/3, 0)</f>
        <v/>
      </c>
    </row>
    <row r="298">
      <c r="A298" s="4" t="inlineStr">
        <is>
          <t>TXN100301</t>
        </is>
      </c>
      <c r="B298" s="4" t="inlineStr">
        <is>
          <t>CUST0301</t>
        </is>
      </c>
      <c r="C298" s="4" t="inlineStr">
        <is>
          <t>2026-06-01 16:47:00</t>
        </is>
      </c>
      <c r="D298" s="4">
        <f>TEXT(LEFT(C298,10),"YYYY-MM-DD")</f>
        <v/>
      </c>
      <c r="E298" s="5">
        <f>HOUR(C298)</f>
        <v/>
      </c>
      <c r="F298" s="4" t="inlineStr">
        <is>
          <t>Female</t>
        </is>
      </c>
      <c r="G298" s="5" t="n">
        <v>23</v>
      </c>
      <c r="H298" s="4">
        <f>IF(G298&gt;=60, "Boomer", IF(G298&gt;=45, "Gen X", IF(G298&gt;=25, "Millennial", "Gen Z")))</f>
        <v/>
      </c>
      <c r="I298" s="4" t="inlineStr">
        <is>
          <t>Savings</t>
        </is>
      </c>
      <c r="J298" s="4" t="inlineStr">
        <is>
          <t>Utilities</t>
        </is>
      </c>
      <c r="K298" s="6" t="n">
        <v>1864.83</v>
      </c>
      <c r="L298" s="6" t="n">
        <v>4262.9</v>
      </c>
      <c r="M298" s="4" t="inlineStr">
        <is>
          <t>ATM</t>
        </is>
      </c>
      <c r="N298" s="4" t="inlineStr">
        <is>
          <t>N</t>
        </is>
      </c>
      <c r="O298" s="4">
        <f>TEXT(D298, "dddd")</f>
        <v/>
      </c>
      <c r="P298" s="4">
        <f>"Q"&amp;ROUNDUP(MONTH(D298)/3, 0)</f>
        <v/>
      </c>
    </row>
    <row r="299">
      <c r="A299" s="7" t="inlineStr">
        <is>
          <t>TXN100302</t>
        </is>
      </c>
      <c r="B299" s="7" t="inlineStr">
        <is>
          <t>CUST0302</t>
        </is>
      </c>
      <c r="C299" s="7" t="inlineStr">
        <is>
          <t>2026-06-01 10:01:00</t>
        </is>
      </c>
      <c r="D299" s="7">
        <f>TEXT(LEFT(C299,10),"YYYY-MM-DD")</f>
        <v/>
      </c>
      <c r="E299" s="8">
        <f>HOUR(C299)</f>
        <v/>
      </c>
      <c r="F299" s="7" t="inlineStr">
        <is>
          <t>Female</t>
        </is>
      </c>
      <c r="G299" s="8" t="n">
        <v>70</v>
      </c>
      <c r="H299" s="7">
        <f>IF(G299&gt;=60, "Boomer", IF(G299&gt;=45, "Gen X", IF(G299&gt;=25, "Millennial", "Gen Z")))</f>
        <v/>
      </c>
      <c r="I299" s="7" t="inlineStr">
        <is>
          <t>Checking</t>
        </is>
      </c>
      <c r="J299" s="7" t="inlineStr">
        <is>
          <t>Utilities</t>
        </is>
      </c>
      <c r="K299" s="9" t="n">
        <v>1832.83</v>
      </c>
      <c r="L299" s="9" t="n">
        <v>27875.37</v>
      </c>
      <c r="M299" s="7" t="inlineStr">
        <is>
          <t>ATM</t>
        </is>
      </c>
      <c r="N299" s="7" t="inlineStr">
        <is>
          <t>N</t>
        </is>
      </c>
      <c r="O299" s="7">
        <f>TEXT(D299, "dddd")</f>
        <v/>
      </c>
      <c r="P299" s="7">
        <f>"Q"&amp;ROUNDUP(MONTH(D299)/3, 0)</f>
        <v/>
      </c>
    </row>
    <row r="300">
      <c r="A300" s="4" t="inlineStr">
        <is>
          <t>TXN100303</t>
        </is>
      </c>
      <c r="B300" s="4" t="inlineStr">
        <is>
          <t>CUST0303</t>
        </is>
      </c>
      <c r="C300" s="4" t="inlineStr">
        <is>
          <t>2026-06-01 13:11:00</t>
        </is>
      </c>
      <c r="D300" s="4">
        <f>TEXT(LEFT(C300,10),"YYYY-MM-DD")</f>
        <v/>
      </c>
      <c r="E300" s="5">
        <f>HOUR(C300)</f>
        <v/>
      </c>
      <c r="F300" s="4" t="inlineStr">
        <is>
          <t>Unspecified</t>
        </is>
      </c>
      <c r="G300" s="5" t="n">
        <v>25</v>
      </c>
      <c r="H300" s="4">
        <f>IF(G300&gt;=60, "Boomer", IF(G300&gt;=45, "Gen X", IF(G300&gt;=25, "Millennial", "Gen Z")))</f>
        <v/>
      </c>
      <c r="I300" s="4" t="inlineStr">
        <is>
          <t>Investment</t>
        </is>
      </c>
      <c r="J300" s="4" t="inlineStr">
        <is>
          <t>Entertainment</t>
        </is>
      </c>
      <c r="K300" s="6" t="n">
        <v>6386.46</v>
      </c>
      <c r="L300" s="6" t="n">
        <v>35798.87</v>
      </c>
      <c r="M300" s="4" t="inlineStr">
        <is>
          <t>Mobile App</t>
        </is>
      </c>
      <c r="N300" s="4" t="inlineStr">
        <is>
          <t>N</t>
        </is>
      </c>
      <c r="O300" s="4">
        <f>TEXT(D300, "dddd")</f>
        <v/>
      </c>
      <c r="P300" s="4">
        <f>"Q"&amp;ROUNDUP(MONTH(D300)/3, 0)</f>
        <v/>
      </c>
    </row>
    <row r="301">
      <c r="A301" s="7" t="inlineStr">
        <is>
          <t>TXN100304</t>
        </is>
      </c>
      <c r="B301" s="7" t="inlineStr">
        <is>
          <t>CUST0304</t>
        </is>
      </c>
      <c r="C301" s="7" t="inlineStr">
        <is>
          <t>2026-06-01 08:09:00</t>
        </is>
      </c>
      <c r="D301" s="7">
        <f>TEXT(LEFT(C301,10),"YYYY-MM-DD")</f>
        <v/>
      </c>
      <c r="E301" s="8">
        <f>HOUR(C301)</f>
        <v/>
      </c>
      <c r="F301" s="7" t="inlineStr">
        <is>
          <t>Unspecified</t>
        </is>
      </c>
      <c r="G301" s="8" t="n">
        <v>65</v>
      </c>
      <c r="H301" s="7">
        <f>IF(G301&gt;=60, "Boomer", IF(G301&gt;=45, "Gen X", IF(G301&gt;=25, "Millennial", "Gen Z")))</f>
        <v/>
      </c>
      <c r="I301" s="7" t="inlineStr">
        <is>
          <t>Investment</t>
        </is>
      </c>
      <c r="J301" s="7" t="inlineStr">
        <is>
          <t>Groceries</t>
        </is>
      </c>
      <c r="K301" s="9" t="n">
        <v>5919.85</v>
      </c>
      <c r="L301" s="9" t="n">
        <v>16175.57</v>
      </c>
      <c r="M301" s="7" t="inlineStr">
        <is>
          <t>Mobile App</t>
        </is>
      </c>
      <c r="N301" s="7" t="inlineStr">
        <is>
          <t>N</t>
        </is>
      </c>
      <c r="O301" s="7">
        <f>TEXT(D301, "dddd")</f>
        <v/>
      </c>
      <c r="P301" s="7">
        <f>"Q"&amp;ROUNDUP(MONTH(D301)/3, 0)</f>
        <v/>
      </c>
    </row>
    <row r="302">
      <c r="A302" s="4" t="inlineStr">
        <is>
          <t>TXN100305</t>
        </is>
      </c>
      <c r="B302" s="4" t="inlineStr">
        <is>
          <t>CUST0305</t>
        </is>
      </c>
      <c r="C302" s="4" t="inlineStr">
        <is>
          <t>2026-06-01 02:00:00</t>
        </is>
      </c>
      <c r="D302" s="4">
        <f>TEXT(LEFT(C302,10),"YYYY-MM-DD")</f>
        <v/>
      </c>
      <c r="E302" s="5">
        <f>HOUR(C302)</f>
        <v/>
      </c>
      <c r="F302" s="4" t="inlineStr">
        <is>
          <t>Female</t>
        </is>
      </c>
      <c r="G302" s="5" t="n">
        <v>48</v>
      </c>
      <c r="H302" s="4">
        <f>IF(G302&gt;=60, "Boomer", IF(G302&gt;=45, "Gen X", IF(G302&gt;=25, "Millennial", "Gen Z")))</f>
        <v/>
      </c>
      <c r="I302" s="4" t="inlineStr">
        <is>
          <t>Checking</t>
        </is>
      </c>
      <c r="J302" s="4" t="inlineStr">
        <is>
          <t>Entertainment</t>
        </is>
      </c>
      <c r="K302" s="6" t="n">
        <v>826.83</v>
      </c>
      <c r="L302" s="6" t="n">
        <v>4821.21</v>
      </c>
      <c r="M302" s="4" t="inlineStr">
        <is>
          <t>ATM</t>
        </is>
      </c>
      <c r="N302" s="4" t="inlineStr">
        <is>
          <t>N</t>
        </is>
      </c>
      <c r="O302" s="4">
        <f>TEXT(D302, "dddd")</f>
        <v/>
      </c>
      <c r="P302" s="4">
        <f>"Q"&amp;ROUNDUP(MONTH(D302)/3, 0)</f>
        <v/>
      </c>
    </row>
    <row r="303">
      <c r="A303" s="7" t="inlineStr">
        <is>
          <t>TXN100306</t>
        </is>
      </c>
      <c r="B303" s="7" t="inlineStr">
        <is>
          <t>CUST0306</t>
        </is>
      </c>
      <c r="C303" s="7" t="inlineStr">
        <is>
          <t>2026-06-01 14:35:00</t>
        </is>
      </c>
      <c r="D303" s="7">
        <f>TEXT(LEFT(C303,10),"YYYY-MM-DD")</f>
        <v/>
      </c>
      <c r="E303" s="8">
        <f>HOUR(C303)</f>
        <v/>
      </c>
      <c r="F303" s="7" t="inlineStr">
        <is>
          <t>Unspecified</t>
        </is>
      </c>
      <c r="G303" s="8" t="n">
        <v>26</v>
      </c>
      <c r="H303" s="7">
        <f>IF(G303&gt;=60, "Boomer", IF(G303&gt;=45, "Gen X", IF(G303&gt;=25, "Millennial", "Gen Z")))</f>
        <v/>
      </c>
      <c r="I303" s="7" t="inlineStr">
        <is>
          <t>Savings</t>
        </is>
      </c>
      <c r="J303" s="7" t="inlineStr">
        <is>
          <t>Groceries</t>
        </is>
      </c>
      <c r="K303" s="9" t="n">
        <v>2837.78</v>
      </c>
      <c r="L303" s="9" t="n">
        <v>5106.68</v>
      </c>
      <c r="M303" s="7" t="inlineStr">
        <is>
          <t>Branch Office</t>
        </is>
      </c>
      <c r="N303" s="7" t="inlineStr">
        <is>
          <t>N</t>
        </is>
      </c>
      <c r="O303" s="7">
        <f>TEXT(D303, "dddd")</f>
        <v/>
      </c>
      <c r="P303" s="7">
        <f>"Q"&amp;ROUNDUP(MONTH(D303)/3, 0)</f>
        <v/>
      </c>
    </row>
    <row r="304">
      <c r="A304" s="4" t="inlineStr">
        <is>
          <t>TXN100307</t>
        </is>
      </c>
      <c r="B304" s="4" t="inlineStr">
        <is>
          <t>CUST0307</t>
        </is>
      </c>
      <c r="C304" s="4" t="inlineStr">
        <is>
          <t>2026-06-01 12:00:00</t>
        </is>
      </c>
      <c r="D304" s="4">
        <f>TEXT(LEFT(C304,10),"YYYY-MM-DD")</f>
        <v/>
      </c>
      <c r="E304" s="5">
        <f>HOUR(C304)</f>
        <v/>
      </c>
      <c r="F304" s="4" t="inlineStr">
        <is>
          <t>Female</t>
        </is>
      </c>
      <c r="G304" s="5" t="n">
        <v>46</v>
      </c>
      <c r="H304" s="4">
        <f>IF(G304&gt;=60, "Boomer", IF(G304&gt;=45, "Gen X", IF(G304&gt;=25, "Millennial", "Gen Z")))</f>
        <v/>
      </c>
      <c r="I304" s="4" t="inlineStr">
        <is>
          <t>Checking</t>
        </is>
      </c>
      <c r="J304" s="4" t="inlineStr">
        <is>
          <t>Groceries</t>
        </is>
      </c>
      <c r="K304" s="6" t="n">
        <v>5801.5</v>
      </c>
      <c r="L304" s="6" t="n">
        <v>28197.06</v>
      </c>
      <c r="M304" s="4" t="inlineStr">
        <is>
          <t>Online Banking</t>
        </is>
      </c>
      <c r="N304" s="4" t="inlineStr">
        <is>
          <t>N</t>
        </is>
      </c>
      <c r="O304" s="4">
        <f>TEXT(D304, "dddd")</f>
        <v/>
      </c>
      <c r="P304" s="4">
        <f>"Q"&amp;ROUNDUP(MONTH(D304)/3, 0)</f>
        <v/>
      </c>
    </row>
    <row r="305">
      <c r="A305" s="7" t="inlineStr">
        <is>
          <t>TXN100308</t>
        </is>
      </c>
      <c r="B305" s="7" t="inlineStr">
        <is>
          <t>CUST0308</t>
        </is>
      </c>
      <c r="C305" s="7" t="inlineStr">
        <is>
          <t>2026-06-01 18:33:00</t>
        </is>
      </c>
      <c r="D305" s="7">
        <f>TEXT(LEFT(C305,10),"YYYY-MM-DD")</f>
        <v/>
      </c>
      <c r="E305" s="8">
        <f>HOUR(C305)</f>
        <v/>
      </c>
      <c r="F305" s="7" t="inlineStr">
        <is>
          <t>Male</t>
        </is>
      </c>
      <c r="G305" s="8" t="n">
        <v>63</v>
      </c>
      <c r="H305" s="7">
        <f>IF(G305&gt;=60, "Boomer", IF(G305&gt;=45, "Gen X", IF(G305&gt;=25, "Millennial", "Gen Z")))</f>
        <v/>
      </c>
      <c r="I305" s="7" t="inlineStr">
        <is>
          <t>Checking</t>
        </is>
      </c>
      <c r="J305" s="7" t="inlineStr">
        <is>
          <t>Groceries</t>
        </is>
      </c>
      <c r="K305" s="9" t="n">
        <v>1119.33</v>
      </c>
      <c r="L305" s="9" t="n">
        <v>15406</v>
      </c>
      <c r="M305" s="7" t="inlineStr">
        <is>
          <t>ATM</t>
        </is>
      </c>
      <c r="N305" s="7" t="inlineStr">
        <is>
          <t>N</t>
        </is>
      </c>
      <c r="O305" s="7">
        <f>TEXT(D305, "dddd")</f>
        <v/>
      </c>
      <c r="P305" s="7">
        <f>"Q"&amp;ROUNDUP(MONTH(D305)/3, 0)</f>
        <v/>
      </c>
    </row>
    <row r="306">
      <c r="A306" s="4" t="inlineStr">
        <is>
          <t>TXN100309</t>
        </is>
      </c>
      <c r="B306" s="4" t="inlineStr">
        <is>
          <t>CUST0309</t>
        </is>
      </c>
      <c r="C306" s="4" t="inlineStr">
        <is>
          <t>2026-06-01 04:04:00</t>
        </is>
      </c>
      <c r="D306" s="4">
        <f>TEXT(LEFT(C306,10),"YYYY-MM-DD")</f>
        <v/>
      </c>
      <c r="E306" s="5">
        <f>HOUR(C306)</f>
        <v/>
      </c>
      <c r="F306" s="4" t="inlineStr">
        <is>
          <t>Male</t>
        </is>
      </c>
      <c r="G306" s="5" t="n">
        <v>47</v>
      </c>
      <c r="H306" s="4">
        <f>IF(G306&gt;=60, "Boomer", IF(G306&gt;=45, "Gen X", IF(G306&gt;=25, "Millennial", "Gen Z")))</f>
        <v/>
      </c>
      <c r="I306" s="4" t="inlineStr">
        <is>
          <t>Checking</t>
        </is>
      </c>
      <c r="J306" s="4" t="inlineStr">
        <is>
          <t>Utilities</t>
        </is>
      </c>
      <c r="K306" s="6" t="n">
        <v>2405.02</v>
      </c>
      <c r="L306" s="6" t="n">
        <v>39242</v>
      </c>
      <c r="M306" s="4" t="inlineStr">
        <is>
          <t>Branch Office</t>
        </is>
      </c>
      <c r="N306" s="4" t="inlineStr">
        <is>
          <t>N</t>
        </is>
      </c>
      <c r="O306" s="4">
        <f>TEXT(D306, "dddd")</f>
        <v/>
      </c>
      <c r="P306" s="4">
        <f>"Q"&amp;ROUNDUP(MONTH(D306)/3, 0)</f>
        <v/>
      </c>
    </row>
    <row r="307">
      <c r="A307" s="7" t="inlineStr">
        <is>
          <t>TXN100310</t>
        </is>
      </c>
      <c r="B307" s="7" t="inlineStr">
        <is>
          <t>CUST0310</t>
        </is>
      </c>
      <c r="C307" s="7" t="inlineStr">
        <is>
          <t>2026-06-01 08:15:00</t>
        </is>
      </c>
      <c r="D307" s="7">
        <f>TEXT(LEFT(C307,10),"YYYY-MM-DD")</f>
        <v/>
      </c>
      <c r="E307" s="8">
        <f>HOUR(C307)</f>
        <v/>
      </c>
      <c r="F307" s="7" t="inlineStr">
        <is>
          <t>Unspecified</t>
        </is>
      </c>
      <c r="G307" s="8" t="n">
        <v>58</v>
      </c>
      <c r="H307" s="7">
        <f>IF(G307&gt;=60, "Boomer", IF(G307&gt;=45, "Gen X", IF(G307&gt;=25, "Millennial", "Gen Z")))</f>
        <v/>
      </c>
      <c r="I307" s="7" t="inlineStr">
        <is>
          <t>Investment</t>
        </is>
      </c>
      <c r="J307" s="7" t="inlineStr">
        <is>
          <t>Groceries</t>
        </is>
      </c>
      <c r="K307" s="9" t="n">
        <v>3668.31</v>
      </c>
      <c r="L307" s="9" t="n">
        <v>7206.73</v>
      </c>
      <c r="M307" s="7" t="inlineStr">
        <is>
          <t>Mobile App</t>
        </is>
      </c>
      <c r="N307" s="7" t="inlineStr">
        <is>
          <t>N</t>
        </is>
      </c>
      <c r="O307" s="7">
        <f>TEXT(D307, "dddd")</f>
        <v/>
      </c>
      <c r="P307" s="7">
        <f>"Q"&amp;ROUNDUP(MONTH(D307)/3, 0)</f>
        <v/>
      </c>
    </row>
    <row r="308">
      <c r="A308" s="4" t="inlineStr">
        <is>
          <t>TXN100311</t>
        </is>
      </c>
      <c r="B308" s="4" t="inlineStr">
        <is>
          <t>CUST0311</t>
        </is>
      </c>
      <c r="C308" s="4" t="inlineStr">
        <is>
          <t>2026-06-01 12:21:00</t>
        </is>
      </c>
      <c r="D308" s="4">
        <f>TEXT(LEFT(C308,10),"YYYY-MM-DD")</f>
        <v/>
      </c>
      <c r="E308" s="5">
        <f>HOUR(C308)</f>
        <v/>
      </c>
      <c r="F308" s="4" t="inlineStr">
        <is>
          <t>Unspecified</t>
        </is>
      </c>
      <c r="G308" s="5" t="n">
        <v>71</v>
      </c>
      <c r="H308" s="4">
        <f>IF(G308&gt;=60, "Boomer", IF(G308&gt;=45, "Gen X", IF(G308&gt;=25, "Millennial", "Gen Z")))</f>
        <v/>
      </c>
      <c r="I308" s="4" t="inlineStr">
        <is>
          <t>Checking</t>
        </is>
      </c>
      <c r="J308" s="4" t="inlineStr">
        <is>
          <t>Utilities</t>
        </is>
      </c>
      <c r="K308" s="6" t="n">
        <v>2684.54</v>
      </c>
      <c r="L308" s="6" t="n">
        <v>40866.04</v>
      </c>
      <c r="M308" s="4" t="inlineStr">
        <is>
          <t>Online Banking</t>
        </is>
      </c>
      <c r="N308" s="4" t="inlineStr">
        <is>
          <t>N</t>
        </is>
      </c>
      <c r="O308" s="4">
        <f>TEXT(D308, "dddd")</f>
        <v/>
      </c>
      <c r="P308" s="4">
        <f>"Q"&amp;ROUNDUP(MONTH(D308)/3, 0)</f>
        <v/>
      </c>
    </row>
    <row r="309">
      <c r="A309" s="7" t="inlineStr">
        <is>
          <t>TXN100312</t>
        </is>
      </c>
      <c r="B309" s="7" t="inlineStr">
        <is>
          <t>CUST0312</t>
        </is>
      </c>
      <c r="C309" s="7" t="inlineStr">
        <is>
          <t>2026-06-01 09:20:00</t>
        </is>
      </c>
      <c r="D309" s="7">
        <f>TEXT(LEFT(C309,10),"YYYY-MM-DD")</f>
        <v/>
      </c>
      <c r="E309" s="8">
        <f>HOUR(C309)</f>
        <v/>
      </c>
      <c r="F309" s="7" t="inlineStr">
        <is>
          <t>Female</t>
        </is>
      </c>
      <c r="G309" s="8" t="n">
        <v>50</v>
      </c>
      <c r="H309" s="7">
        <f>IF(G309&gt;=60, "Boomer", IF(G309&gt;=45, "Gen X", IF(G309&gt;=25, "Millennial", "Gen Z")))</f>
        <v/>
      </c>
      <c r="I309" s="7" t="inlineStr">
        <is>
          <t>Checking</t>
        </is>
      </c>
      <c r="J309" s="7" t="inlineStr">
        <is>
          <t>Groceries</t>
        </is>
      </c>
      <c r="K309" s="9" t="n">
        <v>7716.95</v>
      </c>
      <c r="L309" s="9" t="n">
        <v>48451.9</v>
      </c>
      <c r="M309" s="7" t="inlineStr">
        <is>
          <t>Branch Office</t>
        </is>
      </c>
      <c r="N309" s="7" t="inlineStr">
        <is>
          <t>Y</t>
        </is>
      </c>
      <c r="O309" s="7">
        <f>TEXT(D309, "dddd")</f>
        <v/>
      </c>
      <c r="P309" s="7">
        <f>"Q"&amp;ROUNDUP(MONTH(D309)/3, 0)</f>
        <v/>
      </c>
    </row>
    <row r="310">
      <c r="A310" s="4" t="inlineStr">
        <is>
          <t>TXN100313</t>
        </is>
      </c>
      <c r="B310" s="4" t="inlineStr">
        <is>
          <t>CUST0313</t>
        </is>
      </c>
      <c r="C310" s="4" t="inlineStr">
        <is>
          <t>2026-06-01 20:31:00</t>
        </is>
      </c>
      <c r="D310" s="4">
        <f>TEXT(LEFT(C310,10),"YYYY-MM-DD")</f>
        <v/>
      </c>
      <c r="E310" s="5">
        <f>HOUR(C310)</f>
        <v/>
      </c>
      <c r="F310" s="4" t="inlineStr">
        <is>
          <t>Female</t>
        </is>
      </c>
      <c r="G310" s="5" t="n">
        <v>40</v>
      </c>
      <c r="H310" s="4">
        <f>IF(G310&gt;=60, "Boomer", IF(G310&gt;=45, "Gen X", IF(G310&gt;=25, "Millennial", "Gen Z")))</f>
        <v/>
      </c>
      <c r="I310" s="4" t="inlineStr">
        <is>
          <t>Checking</t>
        </is>
      </c>
      <c r="J310" s="4" t="inlineStr">
        <is>
          <t>Entertainment</t>
        </is>
      </c>
      <c r="K310" s="6" t="n">
        <v>6533.79</v>
      </c>
      <c r="L310" s="6" t="n">
        <v>19950.29</v>
      </c>
      <c r="M310" s="4" t="inlineStr">
        <is>
          <t>Mobile App</t>
        </is>
      </c>
      <c r="N310" s="4" t="inlineStr">
        <is>
          <t>N</t>
        </is>
      </c>
      <c r="O310" s="4">
        <f>TEXT(D310, "dddd")</f>
        <v/>
      </c>
      <c r="P310" s="4">
        <f>"Q"&amp;ROUNDUP(MONTH(D310)/3, 0)</f>
        <v/>
      </c>
    </row>
    <row r="311">
      <c r="A311" s="7" t="inlineStr">
        <is>
          <t>TXN100314</t>
        </is>
      </c>
      <c r="B311" s="7" t="inlineStr">
        <is>
          <t>CUST0314</t>
        </is>
      </c>
      <c r="C311" s="7" t="inlineStr">
        <is>
          <t>2026-06-01 18:12:00</t>
        </is>
      </c>
      <c r="D311" s="7">
        <f>TEXT(LEFT(C311,10),"YYYY-MM-DD")</f>
        <v/>
      </c>
      <c r="E311" s="8">
        <f>HOUR(C311)</f>
        <v/>
      </c>
      <c r="F311" s="7" t="inlineStr">
        <is>
          <t>Male</t>
        </is>
      </c>
      <c r="G311" s="8" t="n">
        <v>63</v>
      </c>
      <c r="H311" s="7">
        <f>IF(G311&gt;=60, "Boomer", IF(G311&gt;=45, "Gen X", IF(G311&gt;=25, "Millennial", "Gen Z")))</f>
        <v/>
      </c>
      <c r="I311" s="7" t="inlineStr">
        <is>
          <t>Investment</t>
        </is>
      </c>
      <c r="J311" s="7" t="inlineStr">
        <is>
          <t>Groceries</t>
        </is>
      </c>
      <c r="K311" s="9" t="n">
        <v>7624.51</v>
      </c>
      <c r="L311" s="9" t="n">
        <v>23350.3</v>
      </c>
      <c r="M311" s="7" t="inlineStr">
        <is>
          <t>Online Banking</t>
        </is>
      </c>
      <c r="N311" s="7" t="inlineStr">
        <is>
          <t>N</t>
        </is>
      </c>
      <c r="O311" s="7">
        <f>TEXT(D311, "dddd")</f>
        <v/>
      </c>
      <c r="P311" s="7">
        <f>"Q"&amp;ROUNDUP(MONTH(D311)/3, 0)</f>
        <v/>
      </c>
    </row>
    <row r="312">
      <c r="A312" s="4" t="inlineStr">
        <is>
          <t>TXN100315</t>
        </is>
      </c>
      <c r="B312" s="4" t="inlineStr">
        <is>
          <t>CUST0315</t>
        </is>
      </c>
      <c r="C312" s="4" t="inlineStr">
        <is>
          <t>2026-06-01 09:53:00</t>
        </is>
      </c>
      <c r="D312" s="4">
        <f>TEXT(LEFT(C312,10),"YYYY-MM-DD")</f>
        <v/>
      </c>
      <c r="E312" s="5">
        <f>HOUR(C312)</f>
        <v/>
      </c>
      <c r="F312" s="4" t="inlineStr">
        <is>
          <t>Male</t>
        </is>
      </c>
      <c r="G312" s="5" t="n">
        <v>72</v>
      </c>
      <c r="H312" s="4">
        <f>IF(G312&gt;=60, "Boomer", IF(G312&gt;=45, "Gen X", IF(G312&gt;=25, "Millennial", "Gen Z")))</f>
        <v/>
      </c>
      <c r="I312" s="4" t="inlineStr">
        <is>
          <t>Checking</t>
        </is>
      </c>
      <c r="J312" s="4" t="inlineStr">
        <is>
          <t>Utilities</t>
        </is>
      </c>
      <c r="K312" s="6" t="n">
        <v>1122.04</v>
      </c>
      <c r="L312" s="6" t="n">
        <v>15490.22</v>
      </c>
      <c r="M312" s="4" t="inlineStr">
        <is>
          <t>Branch Office</t>
        </is>
      </c>
      <c r="N312" s="4" t="inlineStr">
        <is>
          <t>N</t>
        </is>
      </c>
      <c r="O312" s="4">
        <f>TEXT(D312, "dddd")</f>
        <v/>
      </c>
      <c r="P312" s="4">
        <f>"Q"&amp;ROUNDUP(MONTH(D312)/3, 0)</f>
        <v/>
      </c>
    </row>
    <row r="313">
      <c r="A313" s="7" t="inlineStr">
        <is>
          <t>TXN100316</t>
        </is>
      </c>
      <c r="B313" s="7" t="inlineStr">
        <is>
          <t>CUST0316</t>
        </is>
      </c>
      <c r="C313" s="7" t="inlineStr">
        <is>
          <t>2026-06-01 21:09:00</t>
        </is>
      </c>
      <c r="D313" s="7">
        <f>TEXT(LEFT(C313,10),"YYYY-MM-DD")</f>
        <v/>
      </c>
      <c r="E313" s="8">
        <f>HOUR(C313)</f>
        <v/>
      </c>
      <c r="F313" s="7" t="inlineStr">
        <is>
          <t>Unspecified</t>
        </is>
      </c>
      <c r="G313" s="8" t="n">
        <v>70</v>
      </c>
      <c r="H313" s="7">
        <f>IF(G313&gt;=60, "Boomer", IF(G313&gt;=45, "Gen X", IF(G313&gt;=25, "Millennial", "Gen Z")))</f>
        <v/>
      </c>
      <c r="I313" s="7" t="inlineStr">
        <is>
          <t>Checking</t>
        </is>
      </c>
      <c r="J313" s="7" t="inlineStr">
        <is>
          <t>Groceries</t>
        </is>
      </c>
      <c r="K313" s="9" t="n">
        <v>3598.04</v>
      </c>
      <c r="L313" s="9" t="n">
        <v>30097.73</v>
      </c>
      <c r="M313" s="7" t="inlineStr">
        <is>
          <t>ATM</t>
        </is>
      </c>
      <c r="N313" s="7" t="inlineStr">
        <is>
          <t>N</t>
        </is>
      </c>
      <c r="O313" s="7">
        <f>TEXT(D313, "dddd")</f>
        <v/>
      </c>
      <c r="P313" s="7">
        <f>"Q"&amp;ROUNDUP(MONTH(D313)/3, 0)</f>
        <v/>
      </c>
    </row>
    <row r="314">
      <c r="A314" s="4" t="inlineStr">
        <is>
          <t>TXN100317</t>
        </is>
      </c>
      <c r="B314" s="4" t="inlineStr">
        <is>
          <t>CUST0317</t>
        </is>
      </c>
      <c r="C314" s="4" t="inlineStr">
        <is>
          <t>2026-06-01 17:32:00</t>
        </is>
      </c>
      <c r="D314" s="4">
        <f>TEXT(LEFT(C314,10),"YYYY-MM-DD")</f>
        <v/>
      </c>
      <c r="E314" s="5">
        <f>HOUR(C314)</f>
        <v/>
      </c>
      <c r="F314" s="4" t="inlineStr">
        <is>
          <t>Unspecified</t>
        </is>
      </c>
      <c r="G314" s="5" t="n">
        <v>54</v>
      </c>
      <c r="H314" s="4">
        <f>IF(G314&gt;=60, "Boomer", IF(G314&gt;=45, "Gen X", IF(G314&gt;=25, "Millennial", "Gen Z")))</f>
        <v/>
      </c>
      <c r="I314" s="4" t="inlineStr">
        <is>
          <t>Savings</t>
        </is>
      </c>
      <c r="J314" s="4" t="inlineStr">
        <is>
          <t>Entertainment</t>
        </is>
      </c>
      <c r="K314" s="6" t="n">
        <v>5616.06</v>
      </c>
      <c r="L314" s="6" t="n">
        <v>40708.7</v>
      </c>
      <c r="M314" s="4" t="inlineStr">
        <is>
          <t>Mobile App</t>
        </is>
      </c>
      <c r="N314" s="4" t="inlineStr">
        <is>
          <t>N</t>
        </is>
      </c>
      <c r="O314" s="4">
        <f>TEXT(D314, "dddd")</f>
        <v/>
      </c>
      <c r="P314" s="4">
        <f>"Q"&amp;ROUNDUP(MONTH(D314)/3, 0)</f>
        <v/>
      </c>
    </row>
    <row r="315">
      <c r="A315" s="7" t="inlineStr">
        <is>
          <t>TXN100318</t>
        </is>
      </c>
      <c r="B315" s="7" t="inlineStr">
        <is>
          <t>CUST0318</t>
        </is>
      </c>
      <c r="C315" s="7" t="inlineStr">
        <is>
          <t>2026-06-01 03:49:00</t>
        </is>
      </c>
      <c r="D315" s="7">
        <f>TEXT(LEFT(C315,10),"YYYY-MM-DD")</f>
        <v/>
      </c>
      <c r="E315" s="8">
        <f>HOUR(C315)</f>
        <v/>
      </c>
      <c r="F315" s="7" t="inlineStr">
        <is>
          <t>Female</t>
        </is>
      </c>
      <c r="G315" s="8" t="n">
        <v>62</v>
      </c>
      <c r="H315" s="7">
        <f>IF(G315&gt;=60, "Boomer", IF(G315&gt;=45, "Gen X", IF(G315&gt;=25, "Millennial", "Gen Z")))</f>
        <v/>
      </c>
      <c r="I315" s="7" t="inlineStr">
        <is>
          <t>Investment</t>
        </is>
      </c>
      <c r="J315" s="7" t="inlineStr">
        <is>
          <t>Entertainment</t>
        </is>
      </c>
      <c r="K315" s="9" t="n">
        <v>1339.04</v>
      </c>
      <c r="L315" s="9" t="n">
        <v>30827.56</v>
      </c>
      <c r="M315" s="7" t="inlineStr">
        <is>
          <t>ATM</t>
        </is>
      </c>
      <c r="N315" s="7" t="inlineStr">
        <is>
          <t>N</t>
        </is>
      </c>
      <c r="O315" s="7">
        <f>TEXT(D315, "dddd")</f>
        <v/>
      </c>
      <c r="P315" s="7">
        <f>"Q"&amp;ROUNDUP(MONTH(D315)/3, 0)</f>
        <v/>
      </c>
    </row>
    <row r="316">
      <c r="A316" s="4" t="inlineStr">
        <is>
          <t>TXN100319</t>
        </is>
      </c>
      <c r="B316" s="4" t="inlineStr">
        <is>
          <t>CUST0319</t>
        </is>
      </c>
      <c r="C316" s="4" t="inlineStr">
        <is>
          <t>2026-06-01 10:50:00</t>
        </is>
      </c>
      <c r="D316" s="4">
        <f>TEXT(LEFT(C316,10),"YYYY-MM-DD")</f>
        <v/>
      </c>
      <c r="E316" s="5">
        <f>HOUR(C316)</f>
        <v/>
      </c>
      <c r="F316" s="4" t="inlineStr">
        <is>
          <t>Unspecified</t>
        </is>
      </c>
      <c r="G316" s="5" t="n">
        <v>26</v>
      </c>
      <c r="H316" s="4">
        <f>IF(G316&gt;=60, "Boomer", IF(G316&gt;=45, "Gen X", IF(G316&gt;=25, "Millennial", "Gen Z")))</f>
        <v/>
      </c>
      <c r="I316" s="4" t="inlineStr">
        <is>
          <t>Savings</t>
        </is>
      </c>
      <c r="J316" s="4" t="inlineStr">
        <is>
          <t>Groceries</t>
        </is>
      </c>
      <c r="K316" s="6" t="n">
        <v>2077.32</v>
      </c>
      <c r="L316" s="6" t="n">
        <v>25778.47</v>
      </c>
      <c r="M316" s="4" t="inlineStr">
        <is>
          <t>Online Banking</t>
        </is>
      </c>
      <c r="N316" s="4" t="inlineStr">
        <is>
          <t>N</t>
        </is>
      </c>
      <c r="O316" s="4">
        <f>TEXT(D316, "dddd")</f>
        <v/>
      </c>
      <c r="P316" s="4">
        <f>"Q"&amp;ROUNDUP(MONTH(D316)/3, 0)</f>
        <v/>
      </c>
    </row>
    <row r="317">
      <c r="A317" s="7" t="inlineStr">
        <is>
          <t>TXN100320</t>
        </is>
      </c>
      <c r="B317" s="7" t="inlineStr">
        <is>
          <t>CUST0320</t>
        </is>
      </c>
      <c r="C317" s="7" t="inlineStr">
        <is>
          <t>2026-06-01 14:23:00</t>
        </is>
      </c>
      <c r="D317" s="7">
        <f>TEXT(LEFT(C317,10),"YYYY-MM-DD")</f>
        <v/>
      </c>
      <c r="E317" s="8">
        <f>HOUR(C317)</f>
        <v/>
      </c>
      <c r="F317" s="7" t="inlineStr">
        <is>
          <t>Unspecified</t>
        </is>
      </c>
      <c r="G317" s="8" t="n">
        <v>49</v>
      </c>
      <c r="H317" s="7">
        <f>IF(G317&gt;=60, "Boomer", IF(G317&gt;=45, "Gen X", IF(G317&gt;=25, "Millennial", "Gen Z")))</f>
        <v/>
      </c>
      <c r="I317" s="7" t="inlineStr">
        <is>
          <t>Investment</t>
        </is>
      </c>
      <c r="J317" s="7" t="inlineStr">
        <is>
          <t>Travel</t>
        </is>
      </c>
      <c r="K317" s="9" t="n">
        <v>5526.59</v>
      </c>
      <c r="L317" s="9" t="n">
        <v>7961.87</v>
      </c>
      <c r="M317" s="7" t="inlineStr">
        <is>
          <t>Mobile App</t>
        </is>
      </c>
      <c r="N317" s="7" t="inlineStr">
        <is>
          <t>N</t>
        </is>
      </c>
      <c r="O317" s="7">
        <f>TEXT(D317, "dddd")</f>
        <v/>
      </c>
      <c r="P317" s="7">
        <f>"Q"&amp;ROUNDUP(MONTH(D317)/3, 0)</f>
        <v/>
      </c>
    </row>
    <row r="318">
      <c r="A318" s="4" t="inlineStr">
        <is>
          <t>TXN100321</t>
        </is>
      </c>
      <c r="B318" s="4" t="inlineStr">
        <is>
          <t>CUST0321</t>
        </is>
      </c>
      <c r="C318" s="4" t="inlineStr">
        <is>
          <t>2026-06-01 15:06:00</t>
        </is>
      </c>
      <c r="D318" s="4">
        <f>TEXT(LEFT(C318,10),"YYYY-MM-DD")</f>
        <v/>
      </c>
      <c r="E318" s="5">
        <f>HOUR(C318)</f>
        <v/>
      </c>
      <c r="F318" s="4" t="inlineStr">
        <is>
          <t>Female</t>
        </is>
      </c>
      <c r="G318" s="5" t="n">
        <v>46</v>
      </c>
      <c r="H318" s="4">
        <f>IF(G318&gt;=60, "Boomer", IF(G318&gt;=45, "Gen X", IF(G318&gt;=25, "Millennial", "Gen Z")))</f>
        <v/>
      </c>
      <c r="I318" s="4" t="inlineStr">
        <is>
          <t>Savings</t>
        </is>
      </c>
      <c r="J318" s="4" t="inlineStr">
        <is>
          <t>Groceries</t>
        </is>
      </c>
      <c r="K318" s="6" t="n">
        <v>6652.23</v>
      </c>
      <c r="L318" s="6" t="n">
        <v>36642.46</v>
      </c>
      <c r="M318" s="4" t="inlineStr">
        <is>
          <t>Branch Office</t>
        </is>
      </c>
      <c r="N318" s="4" t="inlineStr">
        <is>
          <t>N</t>
        </is>
      </c>
      <c r="O318" s="4">
        <f>TEXT(D318, "dddd")</f>
        <v/>
      </c>
      <c r="P318" s="4">
        <f>"Q"&amp;ROUNDUP(MONTH(D318)/3, 0)</f>
        <v/>
      </c>
    </row>
    <row r="319">
      <c r="A319" s="7" t="inlineStr">
        <is>
          <t>TXN100322</t>
        </is>
      </c>
      <c r="B319" s="7" t="inlineStr">
        <is>
          <t>CUST0322</t>
        </is>
      </c>
      <c r="C319" s="7" t="inlineStr">
        <is>
          <t>2026-06-01 09:21:00</t>
        </is>
      </c>
      <c r="D319" s="7">
        <f>TEXT(LEFT(C319,10),"YYYY-MM-DD")</f>
        <v/>
      </c>
      <c r="E319" s="8">
        <f>HOUR(C319)</f>
        <v/>
      </c>
      <c r="F319" s="7" t="inlineStr">
        <is>
          <t>Unspecified</t>
        </is>
      </c>
      <c r="G319" s="8" t="n">
        <v>70</v>
      </c>
      <c r="H319" s="7">
        <f>IF(G319&gt;=60, "Boomer", IF(G319&gt;=45, "Gen X", IF(G319&gt;=25, "Millennial", "Gen Z")))</f>
        <v/>
      </c>
      <c r="I319" s="7" t="inlineStr">
        <is>
          <t>Savings</t>
        </is>
      </c>
      <c r="J319" s="7" t="inlineStr">
        <is>
          <t>Travel</t>
        </is>
      </c>
      <c r="K319" s="9" t="n">
        <v>3868.58</v>
      </c>
      <c r="L319" s="9" t="n">
        <v>24070.05</v>
      </c>
      <c r="M319" s="7" t="inlineStr">
        <is>
          <t>ATM</t>
        </is>
      </c>
      <c r="N319" s="7" t="inlineStr">
        <is>
          <t>N</t>
        </is>
      </c>
      <c r="O319" s="7">
        <f>TEXT(D319, "dddd")</f>
        <v/>
      </c>
      <c r="P319" s="7">
        <f>"Q"&amp;ROUNDUP(MONTH(D319)/3, 0)</f>
        <v/>
      </c>
    </row>
    <row r="320">
      <c r="A320" s="4" t="inlineStr">
        <is>
          <t>TXN100323</t>
        </is>
      </c>
      <c r="B320" s="4" t="inlineStr">
        <is>
          <t>CUST0323</t>
        </is>
      </c>
      <c r="C320" s="4" t="inlineStr">
        <is>
          <t>2026-06-01 23:44:00</t>
        </is>
      </c>
      <c r="D320" s="4">
        <f>TEXT(LEFT(C320,10),"YYYY-MM-DD")</f>
        <v/>
      </c>
      <c r="E320" s="5">
        <f>HOUR(C320)</f>
        <v/>
      </c>
      <c r="F320" s="4" t="inlineStr">
        <is>
          <t>Unspecified</t>
        </is>
      </c>
      <c r="G320" s="5" t="n">
        <v>40</v>
      </c>
      <c r="H320" s="4">
        <f>IF(G320&gt;=60, "Boomer", IF(G320&gt;=45, "Gen X", IF(G320&gt;=25, "Millennial", "Gen Z")))</f>
        <v/>
      </c>
      <c r="I320" s="4" t="inlineStr">
        <is>
          <t>Savings</t>
        </is>
      </c>
      <c r="J320" s="4" t="inlineStr">
        <is>
          <t>Entertainment</t>
        </is>
      </c>
      <c r="K320" s="6" t="n">
        <v>367.02</v>
      </c>
      <c r="L320" s="6" t="n">
        <v>35683.56</v>
      </c>
      <c r="M320" s="4" t="inlineStr">
        <is>
          <t>Mobile App</t>
        </is>
      </c>
      <c r="N320" s="4" t="inlineStr">
        <is>
          <t>N</t>
        </is>
      </c>
      <c r="O320" s="4">
        <f>TEXT(D320, "dddd")</f>
        <v/>
      </c>
      <c r="P320" s="4">
        <f>"Q"&amp;ROUNDUP(MONTH(D320)/3, 0)</f>
        <v/>
      </c>
    </row>
    <row r="321">
      <c r="A321" s="7" t="inlineStr">
        <is>
          <t>TXN100324</t>
        </is>
      </c>
      <c r="B321" s="7" t="inlineStr">
        <is>
          <t>CUST0324</t>
        </is>
      </c>
      <c r="C321" s="7" t="inlineStr">
        <is>
          <t>2026-06-01 10:41:00</t>
        </is>
      </c>
      <c r="D321" s="7">
        <f>TEXT(LEFT(C321,10),"YYYY-MM-DD")</f>
        <v/>
      </c>
      <c r="E321" s="8">
        <f>HOUR(C321)</f>
        <v/>
      </c>
      <c r="F321" s="7" t="inlineStr">
        <is>
          <t>Male</t>
        </is>
      </c>
      <c r="G321" s="8" t="n">
        <v>63</v>
      </c>
      <c r="H321" s="7">
        <f>IF(G321&gt;=60, "Boomer", IF(G321&gt;=45, "Gen X", IF(G321&gt;=25, "Millennial", "Gen Z")))</f>
        <v/>
      </c>
      <c r="I321" s="7" t="inlineStr">
        <is>
          <t>Savings</t>
        </is>
      </c>
      <c r="J321" s="7" t="inlineStr">
        <is>
          <t>Groceries</t>
        </is>
      </c>
      <c r="K321" s="9" t="n">
        <v>4132.79</v>
      </c>
      <c r="L321" s="9" t="n">
        <v>27819.56</v>
      </c>
      <c r="M321" s="7" t="inlineStr">
        <is>
          <t>Branch Office</t>
        </is>
      </c>
      <c r="N321" s="7" t="inlineStr">
        <is>
          <t>N</t>
        </is>
      </c>
      <c r="O321" s="7">
        <f>TEXT(D321, "dddd")</f>
        <v/>
      </c>
      <c r="P321" s="7">
        <f>"Q"&amp;ROUNDUP(MONTH(D321)/3, 0)</f>
        <v/>
      </c>
    </row>
    <row r="322">
      <c r="A322" s="4" t="inlineStr">
        <is>
          <t>TXN100325</t>
        </is>
      </c>
      <c r="B322" s="4" t="inlineStr">
        <is>
          <t>CUST0325</t>
        </is>
      </c>
      <c r="C322" s="4" t="inlineStr">
        <is>
          <t>2026-06-01 17:27:00</t>
        </is>
      </c>
      <c r="D322" s="4">
        <f>TEXT(LEFT(C322,10),"YYYY-MM-DD")</f>
        <v/>
      </c>
      <c r="E322" s="5">
        <f>HOUR(C322)</f>
        <v/>
      </c>
      <c r="F322" s="4" t="inlineStr">
        <is>
          <t>Unspecified</t>
        </is>
      </c>
      <c r="G322" s="5" t="n">
        <v>34</v>
      </c>
      <c r="H322" s="4">
        <f>IF(G322&gt;=60, "Boomer", IF(G322&gt;=45, "Gen X", IF(G322&gt;=25, "Millennial", "Gen Z")))</f>
        <v/>
      </c>
      <c r="I322" s="4" t="inlineStr">
        <is>
          <t>Checking</t>
        </is>
      </c>
      <c r="J322" s="4" t="inlineStr">
        <is>
          <t>Groceries</t>
        </is>
      </c>
      <c r="K322" s="6" t="n">
        <v>1499.23</v>
      </c>
      <c r="L322" s="6" t="n">
        <v>33036.74</v>
      </c>
      <c r="M322" s="4" t="inlineStr">
        <is>
          <t>ATM</t>
        </is>
      </c>
      <c r="N322" s="4" t="inlineStr">
        <is>
          <t>N</t>
        </is>
      </c>
      <c r="O322" s="4">
        <f>TEXT(D322, "dddd")</f>
        <v/>
      </c>
      <c r="P322" s="4">
        <f>"Q"&amp;ROUNDUP(MONTH(D322)/3, 0)</f>
        <v/>
      </c>
    </row>
    <row r="323">
      <c r="A323" s="7" t="inlineStr">
        <is>
          <t>TXN100326</t>
        </is>
      </c>
      <c r="B323" s="7" t="inlineStr">
        <is>
          <t>CUST0326</t>
        </is>
      </c>
      <c r="C323" s="7" t="inlineStr">
        <is>
          <t>2026-06-01 00:47:00</t>
        </is>
      </c>
      <c r="D323" s="7">
        <f>TEXT(LEFT(C323,10),"YYYY-MM-DD")</f>
        <v/>
      </c>
      <c r="E323" s="8">
        <f>HOUR(C323)</f>
        <v/>
      </c>
      <c r="F323" s="7" t="inlineStr">
        <is>
          <t>Female</t>
        </is>
      </c>
      <c r="G323" s="8" t="n">
        <v>48</v>
      </c>
      <c r="H323" s="7">
        <f>IF(G323&gt;=60, "Boomer", IF(G323&gt;=45, "Gen X", IF(G323&gt;=25, "Millennial", "Gen Z")))</f>
        <v/>
      </c>
      <c r="I323" s="7" t="inlineStr">
        <is>
          <t>Investment</t>
        </is>
      </c>
      <c r="J323" s="7" t="inlineStr">
        <is>
          <t>Utilities</t>
        </is>
      </c>
      <c r="K323" s="9" t="n">
        <v>3116.8</v>
      </c>
      <c r="L323" s="9" t="n">
        <v>35384.41</v>
      </c>
      <c r="M323" s="7" t="inlineStr">
        <is>
          <t>Online Banking</t>
        </is>
      </c>
      <c r="N323" s="7" t="inlineStr">
        <is>
          <t>N</t>
        </is>
      </c>
      <c r="O323" s="7">
        <f>TEXT(D323, "dddd")</f>
        <v/>
      </c>
      <c r="P323" s="7">
        <f>"Q"&amp;ROUNDUP(MONTH(D323)/3, 0)</f>
        <v/>
      </c>
    </row>
    <row r="324">
      <c r="A324" s="4" t="inlineStr">
        <is>
          <t>TXN100327</t>
        </is>
      </c>
      <c r="B324" s="4" t="inlineStr">
        <is>
          <t>CUST0327</t>
        </is>
      </c>
      <c r="C324" s="4" t="inlineStr">
        <is>
          <t>2026-06-01 08:48:00</t>
        </is>
      </c>
      <c r="D324" s="4">
        <f>TEXT(LEFT(C324,10),"YYYY-MM-DD")</f>
        <v/>
      </c>
      <c r="E324" s="5">
        <f>HOUR(C324)</f>
        <v/>
      </c>
      <c r="F324" s="4" t="inlineStr">
        <is>
          <t>Male</t>
        </is>
      </c>
      <c r="G324" s="5" t="n">
        <v>56</v>
      </c>
      <c r="H324" s="4">
        <f>IF(G324&gt;=60, "Boomer", IF(G324&gt;=45, "Gen X", IF(G324&gt;=25, "Millennial", "Gen Z")))</f>
        <v/>
      </c>
      <c r="I324" s="4" t="inlineStr">
        <is>
          <t>Savings</t>
        </is>
      </c>
      <c r="J324" s="4" t="inlineStr">
        <is>
          <t>Travel</t>
        </is>
      </c>
      <c r="K324" s="6" t="n">
        <v>1503.81</v>
      </c>
      <c r="L324" s="6" t="n">
        <v>16636.25</v>
      </c>
      <c r="M324" s="4" t="inlineStr">
        <is>
          <t>ATM</t>
        </is>
      </c>
      <c r="N324" s="4" t="inlineStr">
        <is>
          <t>N</t>
        </is>
      </c>
      <c r="O324" s="4">
        <f>TEXT(D324, "dddd")</f>
        <v/>
      </c>
      <c r="P324" s="4">
        <f>"Q"&amp;ROUNDUP(MONTH(D324)/3, 0)</f>
        <v/>
      </c>
    </row>
    <row r="325">
      <c r="A325" s="7" t="inlineStr">
        <is>
          <t>TXN100328</t>
        </is>
      </c>
      <c r="B325" s="7" t="inlineStr">
        <is>
          <t>CUST0328</t>
        </is>
      </c>
      <c r="C325" s="7" t="inlineStr">
        <is>
          <t>2026-06-01 03:16:00</t>
        </is>
      </c>
      <c r="D325" s="7">
        <f>TEXT(LEFT(C325,10),"YYYY-MM-DD")</f>
        <v/>
      </c>
      <c r="E325" s="8">
        <f>HOUR(C325)</f>
        <v/>
      </c>
      <c r="F325" s="7" t="inlineStr">
        <is>
          <t>Unspecified</t>
        </is>
      </c>
      <c r="G325" s="8" t="n">
        <v>53</v>
      </c>
      <c r="H325" s="7">
        <f>IF(G325&gt;=60, "Boomer", IF(G325&gt;=45, "Gen X", IF(G325&gt;=25, "Millennial", "Gen Z")))</f>
        <v/>
      </c>
      <c r="I325" s="7" t="inlineStr">
        <is>
          <t>Investment</t>
        </is>
      </c>
      <c r="J325" s="7" t="inlineStr">
        <is>
          <t>Entertainment</t>
        </is>
      </c>
      <c r="K325" s="9" t="n">
        <v>4779.8</v>
      </c>
      <c r="L325" s="9" t="n">
        <v>30759.77</v>
      </c>
      <c r="M325" s="7" t="inlineStr">
        <is>
          <t>Mobile App</t>
        </is>
      </c>
      <c r="N325" s="7" t="inlineStr">
        <is>
          <t>N</t>
        </is>
      </c>
      <c r="O325" s="7">
        <f>TEXT(D325, "dddd")</f>
        <v/>
      </c>
      <c r="P325" s="7">
        <f>"Q"&amp;ROUNDUP(MONTH(D325)/3, 0)</f>
        <v/>
      </c>
    </row>
    <row r="326">
      <c r="A326" s="4" t="inlineStr">
        <is>
          <t>TXN100329</t>
        </is>
      </c>
      <c r="B326" s="4" t="inlineStr">
        <is>
          <t>CUST0329</t>
        </is>
      </c>
      <c r="C326" s="4" t="inlineStr">
        <is>
          <t>2026-06-01 11:22:00</t>
        </is>
      </c>
      <c r="D326" s="4">
        <f>TEXT(LEFT(C326,10),"YYYY-MM-DD")</f>
        <v/>
      </c>
      <c r="E326" s="5">
        <f>HOUR(C326)</f>
        <v/>
      </c>
      <c r="F326" s="4" t="inlineStr">
        <is>
          <t>Unspecified</t>
        </is>
      </c>
      <c r="G326" s="5" t="n">
        <v>59</v>
      </c>
      <c r="H326" s="4">
        <f>IF(G326&gt;=60, "Boomer", IF(G326&gt;=45, "Gen X", IF(G326&gt;=25, "Millennial", "Gen Z")))</f>
        <v/>
      </c>
      <c r="I326" s="4" t="inlineStr">
        <is>
          <t>Savings</t>
        </is>
      </c>
      <c r="J326" s="4" t="inlineStr">
        <is>
          <t>Entertainment</t>
        </is>
      </c>
      <c r="K326" s="6" t="n">
        <v>7350.27</v>
      </c>
      <c r="L326" s="6" t="n">
        <v>29713.33</v>
      </c>
      <c r="M326" s="4" t="inlineStr">
        <is>
          <t>Online Banking</t>
        </is>
      </c>
      <c r="N326" s="4" t="inlineStr">
        <is>
          <t>N</t>
        </is>
      </c>
      <c r="O326" s="4">
        <f>TEXT(D326, "dddd")</f>
        <v/>
      </c>
      <c r="P326" s="4">
        <f>"Q"&amp;ROUNDUP(MONTH(D326)/3, 0)</f>
        <v/>
      </c>
    </row>
    <row r="327">
      <c r="A327" s="7" t="inlineStr">
        <is>
          <t>TXN100330</t>
        </is>
      </c>
      <c r="B327" s="7" t="inlineStr">
        <is>
          <t>CUST0330</t>
        </is>
      </c>
      <c r="C327" s="7" t="inlineStr">
        <is>
          <t>2026-06-01 07:19:00</t>
        </is>
      </c>
      <c r="D327" s="7">
        <f>TEXT(LEFT(C327,10),"YYYY-MM-DD")</f>
        <v/>
      </c>
      <c r="E327" s="8">
        <f>HOUR(C327)</f>
        <v/>
      </c>
      <c r="F327" s="7" t="inlineStr">
        <is>
          <t>Male</t>
        </is>
      </c>
      <c r="G327" s="8" t="n">
        <v>31</v>
      </c>
      <c r="H327" s="7">
        <f>IF(G327&gt;=60, "Boomer", IF(G327&gt;=45, "Gen X", IF(G327&gt;=25, "Millennial", "Gen Z")))</f>
        <v/>
      </c>
      <c r="I327" s="7" t="inlineStr">
        <is>
          <t>Checking</t>
        </is>
      </c>
      <c r="J327" s="7" t="inlineStr">
        <is>
          <t>Groceries</t>
        </is>
      </c>
      <c r="K327" s="9" t="n">
        <v>4091.49</v>
      </c>
      <c r="L327" s="9" t="n">
        <v>21202.84</v>
      </c>
      <c r="M327" s="7" t="inlineStr">
        <is>
          <t>Online Banking</t>
        </is>
      </c>
      <c r="N327" s="7" t="inlineStr">
        <is>
          <t>N</t>
        </is>
      </c>
      <c r="O327" s="7">
        <f>TEXT(D327, "dddd")</f>
        <v/>
      </c>
      <c r="P327" s="7">
        <f>"Q"&amp;ROUNDUP(MONTH(D327)/3, 0)</f>
        <v/>
      </c>
    </row>
    <row r="328">
      <c r="A328" s="4" t="inlineStr">
        <is>
          <t>TXN100331</t>
        </is>
      </c>
      <c r="B328" s="4" t="inlineStr">
        <is>
          <t>CUST0331</t>
        </is>
      </c>
      <c r="C328" s="4" t="inlineStr">
        <is>
          <t>2026-06-01 18:24:00</t>
        </is>
      </c>
      <c r="D328" s="4">
        <f>TEXT(LEFT(C328,10),"YYYY-MM-DD")</f>
        <v/>
      </c>
      <c r="E328" s="5">
        <f>HOUR(C328)</f>
        <v/>
      </c>
      <c r="F328" s="4" t="inlineStr">
        <is>
          <t>Unspecified</t>
        </is>
      </c>
      <c r="G328" s="5" t="n">
        <v>31</v>
      </c>
      <c r="H328" s="4">
        <f>IF(G328&gt;=60, "Boomer", IF(G328&gt;=45, "Gen X", IF(G328&gt;=25, "Millennial", "Gen Z")))</f>
        <v/>
      </c>
      <c r="I328" s="4" t="inlineStr">
        <is>
          <t>Checking</t>
        </is>
      </c>
      <c r="J328" s="4" t="inlineStr">
        <is>
          <t>Travel</t>
        </is>
      </c>
      <c r="K328" s="6" t="n">
        <v>5550.53</v>
      </c>
      <c r="L328" s="6" t="n">
        <v>32440.37</v>
      </c>
      <c r="M328" s="4" t="inlineStr">
        <is>
          <t>Online Banking</t>
        </is>
      </c>
      <c r="N328" s="4" t="inlineStr">
        <is>
          <t>N</t>
        </is>
      </c>
      <c r="O328" s="4">
        <f>TEXT(D328, "dddd")</f>
        <v/>
      </c>
      <c r="P328" s="4">
        <f>"Q"&amp;ROUNDUP(MONTH(D328)/3, 0)</f>
        <v/>
      </c>
    </row>
    <row r="329">
      <c r="A329" s="7" t="inlineStr">
        <is>
          <t>TXN100332</t>
        </is>
      </c>
      <c r="B329" s="7" t="inlineStr">
        <is>
          <t>CUST0332</t>
        </is>
      </c>
      <c r="C329" s="7" t="inlineStr">
        <is>
          <t>2026-06-01 17:10:00</t>
        </is>
      </c>
      <c r="D329" s="7">
        <f>TEXT(LEFT(C329,10),"YYYY-MM-DD")</f>
        <v/>
      </c>
      <c r="E329" s="8">
        <f>HOUR(C329)</f>
        <v/>
      </c>
      <c r="F329" s="7" t="inlineStr">
        <is>
          <t>Unspecified</t>
        </is>
      </c>
      <c r="G329" s="8" t="n">
        <v>38</v>
      </c>
      <c r="H329" s="7">
        <f>IF(G329&gt;=60, "Boomer", IF(G329&gt;=45, "Gen X", IF(G329&gt;=25, "Millennial", "Gen Z")))</f>
        <v/>
      </c>
      <c r="I329" s="7" t="inlineStr">
        <is>
          <t>Savings</t>
        </is>
      </c>
      <c r="J329" s="7" t="inlineStr">
        <is>
          <t>Groceries</t>
        </is>
      </c>
      <c r="K329" s="9" t="n">
        <v>2523.49</v>
      </c>
      <c r="L329" s="9" t="n">
        <v>22824.55</v>
      </c>
      <c r="M329" s="7" t="inlineStr">
        <is>
          <t>Mobile App</t>
        </is>
      </c>
      <c r="N329" s="7" t="inlineStr">
        <is>
          <t>N</t>
        </is>
      </c>
      <c r="O329" s="7">
        <f>TEXT(D329, "dddd")</f>
        <v/>
      </c>
      <c r="P329" s="7">
        <f>"Q"&amp;ROUNDUP(MONTH(D329)/3, 0)</f>
        <v/>
      </c>
    </row>
    <row r="330">
      <c r="A330" s="4" t="inlineStr">
        <is>
          <t>TXN100333</t>
        </is>
      </c>
      <c r="B330" s="4" t="inlineStr">
        <is>
          <t>CUST0333</t>
        </is>
      </c>
      <c r="C330" s="4" t="inlineStr">
        <is>
          <t>2026-06-01 11:00:00</t>
        </is>
      </c>
      <c r="D330" s="4">
        <f>TEXT(LEFT(C330,10),"YYYY-MM-DD")</f>
        <v/>
      </c>
      <c r="E330" s="5">
        <f>HOUR(C330)</f>
        <v/>
      </c>
      <c r="F330" s="4" t="inlineStr">
        <is>
          <t>Unspecified</t>
        </is>
      </c>
      <c r="G330" s="5" t="n">
        <v>28</v>
      </c>
      <c r="H330" s="4">
        <f>IF(G330&gt;=60, "Boomer", IF(G330&gt;=45, "Gen X", IF(G330&gt;=25, "Millennial", "Gen Z")))</f>
        <v/>
      </c>
      <c r="I330" s="4" t="inlineStr">
        <is>
          <t>Savings</t>
        </is>
      </c>
      <c r="J330" s="4" t="inlineStr">
        <is>
          <t>Utilities</t>
        </is>
      </c>
      <c r="K330" s="6" t="n">
        <v>7710.99</v>
      </c>
      <c r="L330" s="6" t="n">
        <v>25519.18</v>
      </c>
      <c r="M330" s="4" t="inlineStr">
        <is>
          <t>ATM</t>
        </is>
      </c>
      <c r="N330" s="4" t="inlineStr">
        <is>
          <t>N</t>
        </is>
      </c>
      <c r="O330" s="4">
        <f>TEXT(D330, "dddd")</f>
        <v/>
      </c>
      <c r="P330" s="4">
        <f>"Q"&amp;ROUNDUP(MONTH(D330)/3, 0)</f>
        <v/>
      </c>
    </row>
    <row r="331">
      <c r="A331" s="7" t="inlineStr">
        <is>
          <t>TXN100334</t>
        </is>
      </c>
      <c r="B331" s="7" t="inlineStr">
        <is>
          <t>CUST0334</t>
        </is>
      </c>
      <c r="C331" s="7" t="inlineStr">
        <is>
          <t>2026-06-01 15:26:00</t>
        </is>
      </c>
      <c r="D331" s="7">
        <f>TEXT(LEFT(C331,10),"YYYY-MM-DD")</f>
        <v/>
      </c>
      <c r="E331" s="8">
        <f>HOUR(C331)</f>
        <v/>
      </c>
      <c r="F331" s="7" t="inlineStr">
        <is>
          <t>Unspecified</t>
        </is>
      </c>
      <c r="G331" s="8" t="n">
        <v>51</v>
      </c>
      <c r="H331" s="7">
        <f>IF(G331&gt;=60, "Boomer", IF(G331&gt;=45, "Gen X", IF(G331&gt;=25, "Millennial", "Gen Z")))</f>
        <v/>
      </c>
      <c r="I331" s="7" t="inlineStr">
        <is>
          <t>Savings</t>
        </is>
      </c>
      <c r="J331" s="7" t="inlineStr">
        <is>
          <t>Groceries</t>
        </is>
      </c>
      <c r="K331" s="9" t="n">
        <v>4527.53</v>
      </c>
      <c r="L331" s="9" t="n">
        <v>39896.1</v>
      </c>
      <c r="M331" s="7" t="inlineStr">
        <is>
          <t>Online Banking</t>
        </is>
      </c>
      <c r="N331" s="7" t="inlineStr">
        <is>
          <t>N</t>
        </is>
      </c>
      <c r="O331" s="7">
        <f>TEXT(D331, "dddd")</f>
        <v/>
      </c>
      <c r="P331" s="7">
        <f>"Q"&amp;ROUNDUP(MONTH(D331)/3, 0)</f>
        <v/>
      </c>
    </row>
    <row r="332">
      <c r="A332" s="4" t="inlineStr">
        <is>
          <t>TXN100335</t>
        </is>
      </c>
      <c r="B332" s="4" t="inlineStr">
        <is>
          <t>CUST0335</t>
        </is>
      </c>
      <c r="C332" s="4" t="inlineStr">
        <is>
          <t>2026-06-01 09:02:00</t>
        </is>
      </c>
      <c r="D332" s="4">
        <f>TEXT(LEFT(C332,10),"YYYY-MM-DD")</f>
        <v/>
      </c>
      <c r="E332" s="5">
        <f>HOUR(C332)</f>
        <v/>
      </c>
      <c r="F332" s="4" t="inlineStr">
        <is>
          <t>Female</t>
        </is>
      </c>
      <c r="G332" s="5" t="n">
        <v>34</v>
      </c>
      <c r="H332" s="4">
        <f>IF(G332&gt;=60, "Boomer", IF(G332&gt;=45, "Gen X", IF(G332&gt;=25, "Millennial", "Gen Z")))</f>
        <v/>
      </c>
      <c r="I332" s="4" t="inlineStr">
        <is>
          <t>Investment</t>
        </is>
      </c>
      <c r="J332" s="4" t="inlineStr">
        <is>
          <t>Entertainment</t>
        </is>
      </c>
      <c r="K332" s="6" t="n">
        <v>1353.99</v>
      </c>
      <c r="L332" s="6" t="n">
        <v>23137.41</v>
      </c>
      <c r="M332" s="4" t="inlineStr">
        <is>
          <t>ATM</t>
        </is>
      </c>
      <c r="N332" s="4" t="inlineStr">
        <is>
          <t>N</t>
        </is>
      </c>
      <c r="O332" s="4">
        <f>TEXT(D332, "dddd")</f>
        <v/>
      </c>
      <c r="P332" s="4">
        <f>"Q"&amp;ROUNDUP(MONTH(D332)/3, 0)</f>
        <v/>
      </c>
    </row>
    <row r="333">
      <c r="A333" s="7" t="inlineStr">
        <is>
          <t>TXN100336</t>
        </is>
      </c>
      <c r="B333" s="7" t="inlineStr">
        <is>
          <t>CUST0336</t>
        </is>
      </c>
      <c r="C333" s="7" t="inlineStr">
        <is>
          <t>2026-06-01 17:32:00</t>
        </is>
      </c>
      <c r="D333" s="7">
        <f>TEXT(LEFT(C333,10),"YYYY-MM-DD")</f>
        <v/>
      </c>
      <c r="E333" s="8">
        <f>HOUR(C333)</f>
        <v/>
      </c>
      <c r="F333" s="7" t="inlineStr">
        <is>
          <t>Male</t>
        </is>
      </c>
      <c r="G333" s="8" t="n">
        <v>56</v>
      </c>
      <c r="H333" s="7">
        <f>IF(G333&gt;=60, "Boomer", IF(G333&gt;=45, "Gen X", IF(G333&gt;=25, "Millennial", "Gen Z")))</f>
        <v/>
      </c>
      <c r="I333" s="7" t="inlineStr">
        <is>
          <t>Savings</t>
        </is>
      </c>
      <c r="J333" s="7" t="inlineStr">
        <is>
          <t>Entertainment</t>
        </is>
      </c>
      <c r="K333" s="9" t="n">
        <v>6203.15</v>
      </c>
      <c r="L333" s="9" t="n">
        <v>41252.5</v>
      </c>
      <c r="M333" s="7" t="inlineStr">
        <is>
          <t>Branch Office</t>
        </is>
      </c>
      <c r="N333" s="7" t="inlineStr">
        <is>
          <t>N</t>
        </is>
      </c>
      <c r="O333" s="7">
        <f>TEXT(D333, "dddd")</f>
        <v/>
      </c>
      <c r="P333" s="7">
        <f>"Q"&amp;ROUNDUP(MONTH(D333)/3, 0)</f>
        <v/>
      </c>
    </row>
    <row r="334">
      <c r="A334" s="4" t="inlineStr">
        <is>
          <t>TXN100337</t>
        </is>
      </c>
      <c r="B334" s="4" t="inlineStr">
        <is>
          <t>CUST0337</t>
        </is>
      </c>
      <c r="C334" s="4" t="inlineStr">
        <is>
          <t>2026-06-01 17:52:00</t>
        </is>
      </c>
      <c r="D334" s="4">
        <f>TEXT(LEFT(C334,10),"YYYY-MM-DD")</f>
        <v/>
      </c>
      <c r="E334" s="5">
        <f>HOUR(C334)</f>
        <v/>
      </c>
      <c r="F334" s="4" t="inlineStr">
        <is>
          <t>Male</t>
        </is>
      </c>
      <c r="G334" s="5" t="n">
        <v>68</v>
      </c>
      <c r="H334" s="4">
        <f>IF(G334&gt;=60, "Boomer", IF(G334&gt;=45, "Gen X", IF(G334&gt;=25, "Millennial", "Gen Z")))</f>
        <v/>
      </c>
      <c r="I334" s="4" t="inlineStr">
        <is>
          <t>Investment</t>
        </is>
      </c>
      <c r="J334" s="4" t="inlineStr">
        <is>
          <t>Utilities</t>
        </is>
      </c>
      <c r="K334" s="6" t="n">
        <v>4375.36</v>
      </c>
      <c r="L334" s="6" t="n">
        <v>49493.9</v>
      </c>
      <c r="M334" s="4" t="inlineStr">
        <is>
          <t>Mobile App</t>
        </is>
      </c>
      <c r="N334" s="4" t="inlineStr">
        <is>
          <t>N</t>
        </is>
      </c>
      <c r="O334" s="4">
        <f>TEXT(D334, "dddd")</f>
        <v/>
      </c>
      <c r="P334" s="4">
        <f>"Q"&amp;ROUNDUP(MONTH(D334)/3, 0)</f>
        <v/>
      </c>
    </row>
    <row r="335">
      <c r="A335" s="7" t="inlineStr">
        <is>
          <t>TXN100338</t>
        </is>
      </c>
      <c r="B335" s="7" t="inlineStr">
        <is>
          <t>CUST0338</t>
        </is>
      </c>
      <c r="C335" s="7" t="inlineStr">
        <is>
          <t>2026-06-01 23:53:00</t>
        </is>
      </c>
      <c r="D335" s="7">
        <f>TEXT(LEFT(C335,10),"YYYY-MM-DD")</f>
        <v/>
      </c>
      <c r="E335" s="8">
        <f>HOUR(C335)</f>
        <v/>
      </c>
      <c r="F335" s="7" t="inlineStr">
        <is>
          <t>Female</t>
        </is>
      </c>
      <c r="G335" s="8" t="n">
        <v>39</v>
      </c>
      <c r="H335" s="7">
        <f>IF(G335&gt;=60, "Boomer", IF(G335&gt;=45, "Gen X", IF(G335&gt;=25, "Millennial", "Gen Z")))</f>
        <v/>
      </c>
      <c r="I335" s="7" t="inlineStr">
        <is>
          <t>Savings</t>
        </is>
      </c>
      <c r="J335" s="7" t="inlineStr">
        <is>
          <t>Utilities</t>
        </is>
      </c>
      <c r="K335" s="9" t="n">
        <v>2109.89</v>
      </c>
      <c r="L335" s="9" t="n">
        <v>43178.88</v>
      </c>
      <c r="M335" s="7" t="inlineStr">
        <is>
          <t>Mobile App</t>
        </is>
      </c>
      <c r="N335" s="7" t="inlineStr">
        <is>
          <t>N</t>
        </is>
      </c>
      <c r="O335" s="7">
        <f>TEXT(D335, "dddd")</f>
        <v/>
      </c>
      <c r="P335" s="7">
        <f>"Q"&amp;ROUNDUP(MONTH(D335)/3, 0)</f>
        <v/>
      </c>
    </row>
    <row r="336">
      <c r="A336" s="4" t="inlineStr">
        <is>
          <t>TXN100339</t>
        </is>
      </c>
      <c r="B336" s="4" t="inlineStr">
        <is>
          <t>CUST0339</t>
        </is>
      </c>
      <c r="C336" s="4" t="inlineStr">
        <is>
          <t>2026-06-01 14:55:00</t>
        </is>
      </c>
      <c r="D336" s="4">
        <f>TEXT(LEFT(C336,10),"YYYY-MM-DD")</f>
        <v/>
      </c>
      <c r="E336" s="5">
        <f>HOUR(C336)</f>
        <v/>
      </c>
      <c r="F336" s="4" t="inlineStr">
        <is>
          <t>Male</t>
        </is>
      </c>
      <c r="G336" s="5" t="n">
        <v>69</v>
      </c>
      <c r="H336" s="4">
        <f>IF(G336&gt;=60, "Boomer", IF(G336&gt;=45, "Gen X", IF(G336&gt;=25, "Millennial", "Gen Z")))</f>
        <v/>
      </c>
      <c r="I336" s="4" t="inlineStr">
        <is>
          <t>Savings</t>
        </is>
      </c>
      <c r="J336" s="4" t="inlineStr">
        <is>
          <t>Groceries</t>
        </is>
      </c>
      <c r="K336" s="6" t="n">
        <v>6487.51</v>
      </c>
      <c r="L336" s="6" t="n">
        <v>29602.23</v>
      </c>
      <c r="M336" s="4" t="inlineStr">
        <is>
          <t>Branch Office</t>
        </is>
      </c>
      <c r="N336" s="4" t="inlineStr">
        <is>
          <t>N</t>
        </is>
      </c>
      <c r="O336" s="4">
        <f>TEXT(D336, "dddd")</f>
        <v/>
      </c>
      <c r="P336" s="4">
        <f>"Q"&amp;ROUNDUP(MONTH(D336)/3, 0)</f>
        <v/>
      </c>
    </row>
    <row r="337">
      <c r="A337" s="7" t="inlineStr">
        <is>
          <t>TXN100340</t>
        </is>
      </c>
      <c r="B337" s="7" t="inlineStr">
        <is>
          <t>CUST0340</t>
        </is>
      </c>
      <c r="C337" s="7" t="inlineStr">
        <is>
          <t>2026-06-01 22:39:00</t>
        </is>
      </c>
      <c r="D337" s="7">
        <f>TEXT(LEFT(C337,10),"YYYY-MM-DD")</f>
        <v/>
      </c>
      <c r="E337" s="8">
        <f>HOUR(C337)</f>
        <v/>
      </c>
      <c r="F337" s="7" t="inlineStr">
        <is>
          <t>Unspecified</t>
        </is>
      </c>
      <c r="G337" s="8" t="n">
        <v>30</v>
      </c>
      <c r="H337" s="7">
        <f>IF(G337&gt;=60, "Boomer", IF(G337&gt;=45, "Gen X", IF(G337&gt;=25, "Millennial", "Gen Z")))</f>
        <v/>
      </c>
      <c r="I337" s="7" t="inlineStr">
        <is>
          <t>Investment</t>
        </is>
      </c>
      <c r="J337" s="7" t="inlineStr">
        <is>
          <t>Groceries</t>
        </is>
      </c>
      <c r="K337" s="9" t="n">
        <v>6280.95</v>
      </c>
      <c r="L337" s="9" t="n">
        <v>40769.73</v>
      </c>
      <c r="M337" s="7" t="inlineStr">
        <is>
          <t>Mobile App</t>
        </is>
      </c>
      <c r="N337" s="7" t="inlineStr">
        <is>
          <t>N</t>
        </is>
      </c>
      <c r="O337" s="7">
        <f>TEXT(D337, "dddd")</f>
        <v/>
      </c>
      <c r="P337" s="7">
        <f>"Q"&amp;ROUNDUP(MONTH(D337)/3, 0)</f>
        <v/>
      </c>
    </row>
    <row r="338">
      <c r="A338" s="4" t="inlineStr">
        <is>
          <t>TXN100341</t>
        </is>
      </c>
      <c r="B338" s="4" t="inlineStr">
        <is>
          <t>CUST0341</t>
        </is>
      </c>
      <c r="C338" s="4" t="inlineStr">
        <is>
          <t>2026-06-01 18:22:00</t>
        </is>
      </c>
      <c r="D338" s="4">
        <f>TEXT(LEFT(C338,10),"YYYY-MM-DD")</f>
        <v/>
      </c>
      <c r="E338" s="5">
        <f>HOUR(C338)</f>
        <v/>
      </c>
      <c r="F338" s="4" t="inlineStr">
        <is>
          <t>Female</t>
        </is>
      </c>
      <c r="G338" s="5" t="n">
        <v>58</v>
      </c>
      <c r="H338" s="4">
        <f>IF(G338&gt;=60, "Boomer", IF(G338&gt;=45, "Gen X", IF(G338&gt;=25, "Millennial", "Gen Z")))</f>
        <v/>
      </c>
      <c r="I338" s="4" t="inlineStr">
        <is>
          <t>Investment</t>
        </is>
      </c>
      <c r="J338" s="4" t="inlineStr">
        <is>
          <t>Groceries</t>
        </is>
      </c>
      <c r="K338" s="6" t="n">
        <v>2595.99</v>
      </c>
      <c r="L338" s="6" t="n">
        <v>35350.66</v>
      </c>
      <c r="M338" s="4" t="inlineStr">
        <is>
          <t>Branch Office</t>
        </is>
      </c>
      <c r="N338" s="4" t="inlineStr">
        <is>
          <t>N</t>
        </is>
      </c>
      <c r="O338" s="4">
        <f>TEXT(D338, "dddd")</f>
        <v/>
      </c>
      <c r="P338" s="4">
        <f>"Q"&amp;ROUNDUP(MONTH(D338)/3, 0)</f>
        <v/>
      </c>
    </row>
    <row r="339">
      <c r="A339" s="7" t="inlineStr">
        <is>
          <t>TXN100342</t>
        </is>
      </c>
      <c r="B339" s="7" t="inlineStr">
        <is>
          <t>CUST0342</t>
        </is>
      </c>
      <c r="C339" s="7" t="inlineStr">
        <is>
          <t>2026-06-01 18:17:00</t>
        </is>
      </c>
      <c r="D339" s="7">
        <f>TEXT(LEFT(C339,10),"YYYY-MM-DD")</f>
        <v/>
      </c>
      <c r="E339" s="8">
        <f>HOUR(C339)</f>
        <v/>
      </c>
      <c r="F339" s="7" t="inlineStr">
        <is>
          <t>Male</t>
        </is>
      </c>
      <c r="G339" s="8" t="n">
        <v>28</v>
      </c>
      <c r="H339" s="7">
        <f>IF(G339&gt;=60, "Boomer", IF(G339&gt;=45, "Gen X", IF(G339&gt;=25, "Millennial", "Gen Z")))</f>
        <v/>
      </c>
      <c r="I339" s="7" t="inlineStr">
        <is>
          <t>Checking</t>
        </is>
      </c>
      <c r="J339" s="7" t="inlineStr">
        <is>
          <t>Groceries</t>
        </is>
      </c>
      <c r="K339" s="9" t="n">
        <v>7939.96</v>
      </c>
      <c r="L339" s="9" t="n">
        <v>43418.86</v>
      </c>
      <c r="M339" s="7" t="inlineStr">
        <is>
          <t>Online Banking</t>
        </is>
      </c>
      <c r="N339" s="7" t="inlineStr">
        <is>
          <t>Y</t>
        </is>
      </c>
      <c r="O339" s="7">
        <f>TEXT(D339, "dddd")</f>
        <v/>
      </c>
      <c r="P339" s="7">
        <f>"Q"&amp;ROUNDUP(MONTH(D339)/3, 0)</f>
        <v/>
      </c>
    </row>
    <row r="340">
      <c r="A340" s="4" t="inlineStr">
        <is>
          <t>TXN100343</t>
        </is>
      </c>
      <c r="B340" s="4" t="inlineStr">
        <is>
          <t>CUST0343</t>
        </is>
      </c>
      <c r="C340" s="4" t="inlineStr">
        <is>
          <t>2026-06-01 04:15:00</t>
        </is>
      </c>
      <c r="D340" s="4">
        <f>TEXT(LEFT(C340,10),"YYYY-MM-DD")</f>
        <v/>
      </c>
      <c r="E340" s="5">
        <f>HOUR(C340)</f>
        <v/>
      </c>
      <c r="F340" s="4" t="inlineStr">
        <is>
          <t>Male</t>
        </is>
      </c>
      <c r="G340" s="5" t="n">
        <v>65</v>
      </c>
      <c r="H340" s="4">
        <f>IF(G340&gt;=60, "Boomer", IF(G340&gt;=45, "Gen X", IF(G340&gt;=25, "Millennial", "Gen Z")))</f>
        <v/>
      </c>
      <c r="I340" s="4" t="inlineStr">
        <is>
          <t>Checking</t>
        </is>
      </c>
      <c r="J340" s="4" t="inlineStr">
        <is>
          <t>Groceries</t>
        </is>
      </c>
      <c r="K340" s="6" t="n">
        <v>6094.17</v>
      </c>
      <c r="L340" s="6" t="n">
        <v>33973.61</v>
      </c>
      <c r="M340" s="4" t="inlineStr">
        <is>
          <t>ATM</t>
        </is>
      </c>
      <c r="N340" s="4" t="inlineStr">
        <is>
          <t>N</t>
        </is>
      </c>
      <c r="O340" s="4">
        <f>TEXT(D340, "dddd")</f>
        <v/>
      </c>
      <c r="P340" s="4">
        <f>"Q"&amp;ROUNDUP(MONTH(D340)/3, 0)</f>
        <v/>
      </c>
    </row>
    <row r="341">
      <c r="A341" s="7" t="inlineStr">
        <is>
          <t>TXN100344</t>
        </is>
      </c>
      <c r="B341" s="7" t="inlineStr">
        <is>
          <t>CUST0344</t>
        </is>
      </c>
      <c r="C341" s="7" t="inlineStr">
        <is>
          <t>2026-06-01 04:36:00</t>
        </is>
      </c>
      <c r="D341" s="7">
        <f>TEXT(LEFT(C341,10),"YYYY-MM-DD")</f>
        <v/>
      </c>
      <c r="E341" s="8">
        <f>HOUR(C341)</f>
        <v/>
      </c>
      <c r="F341" s="7" t="inlineStr">
        <is>
          <t>Female</t>
        </is>
      </c>
      <c r="G341" s="8" t="n">
        <v>60</v>
      </c>
      <c r="H341" s="7">
        <f>IF(G341&gt;=60, "Boomer", IF(G341&gt;=45, "Gen X", IF(G341&gt;=25, "Millennial", "Gen Z")))</f>
        <v/>
      </c>
      <c r="I341" s="7" t="inlineStr">
        <is>
          <t>Checking</t>
        </is>
      </c>
      <c r="J341" s="7" t="inlineStr">
        <is>
          <t>Utilities</t>
        </is>
      </c>
      <c r="K341" s="9" t="n">
        <v>3621.41</v>
      </c>
      <c r="L341" s="9" t="n">
        <v>31864.57</v>
      </c>
      <c r="M341" s="7" t="inlineStr">
        <is>
          <t>Mobile App</t>
        </is>
      </c>
      <c r="N341" s="7" t="inlineStr">
        <is>
          <t>N</t>
        </is>
      </c>
      <c r="O341" s="7">
        <f>TEXT(D341, "dddd")</f>
        <v/>
      </c>
      <c r="P341" s="7">
        <f>"Q"&amp;ROUNDUP(MONTH(D341)/3, 0)</f>
        <v/>
      </c>
    </row>
    <row r="342">
      <c r="A342" s="4" t="inlineStr">
        <is>
          <t>TXN100345</t>
        </is>
      </c>
      <c r="B342" s="4" t="inlineStr">
        <is>
          <t>CUST0345</t>
        </is>
      </c>
      <c r="C342" s="4" t="inlineStr">
        <is>
          <t>2026-06-01 12:32:00</t>
        </is>
      </c>
      <c r="D342" s="4">
        <f>TEXT(LEFT(C342,10),"YYYY-MM-DD")</f>
        <v/>
      </c>
      <c r="E342" s="5">
        <f>HOUR(C342)</f>
        <v/>
      </c>
      <c r="F342" s="4" t="inlineStr">
        <is>
          <t>Female</t>
        </is>
      </c>
      <c r="G342" s="5" t="n">
        <v>64</v>
      </c>
      <c r="H342" s="4">
        <f>IF(G342&gt;=60, "Boomer", IF(G342&gt;=45, "Gen X", IF(G342&gt;=25, "Millennial", "Gen Z")))</f>
        <v/>
      </c>
      <c r="I342" s="4" t="inlineStr">
        <is>
          <t>Checking</t>
        </is>
      </c>
      <c r="J342" s="4" t="inlineStr">
        <is>
          <t>Utilities</t>
        </is>
      </c>
      <c r="K342" s="6" t="n">
        <v>7602.53</v>
      </c>
      <c r="L342" s="6" t="n">
        <v>16700.82</v>
      </c>
      <c r="M342" s="4" t="inlineStr">
        <is>
          <t>Mobile App</t>
        </is>
      </c>
      <c r="N342" s="4" t="inlineStr">
        <is>
          <t>Y</t>
        </is>
      </c>
      <c r="O342" s="4">
        <f>TEXT(D342, "dddd")</f>
        <v/>
      </c>
      <c r="P342" s="4">
        <f>"Q"&amp;ROUNDUP(MONTH(D342)/3, 0)</f>
        <v/>
      </c>
    </row>
    <row r="343">
      <c r="A343" s="7" t="inlineStr">
        <is>
          <t>TXN100346</t>
        </is>
      </c>
      <c r="B343" s="7" t="inlineStr">
        <is>
          <t>CUST0346</t>
        </is>
      </c>
      <c r="C343" s="7" t="inlineStr">
        <is>
          <t>2026-06-01 23:05:00</t>
        </is>
      </c>
      <c r="D343" s="7">
        <f>TEXT(LEFT(C343,10),"YYYY-MM-DD")</f>
        <v/>
      </c>
      <c r="E343" s="8">
        <f>HOUR(C343)</f>
        <v/>
      </c>
      <c r="F343" s="7" t="inlineStr">
        <is>
          <t>Unspecified</t>
        </is>
      </c>
      <c r="G343" s="8" t="n">
        <v>60</v>
      </c>
      <c r="H343" s="7">
        <f>IF(G343&gt;=60, "Boomer", IF(G343&gt;=45, "Gen X", IF(G343&gt;=25, "Millennial", "Gen Z")))</f>
        <v/>
      </c>
      <c r="I343" s="7" t="inlineStr">
        <is>
          <t>Investment</t>
        </is>
      </c>
      <c r="J343" s="7" t="inlineStr">
        <is>
          <t>Entertainment</t>
        </is>
      </c>
      <c r="K343" s="9" t="n">
        <v>6802.35</v>
      </c>
      <c r="L343" s="9" t="n">
        <v>39886.06</v>
      </c>
      <c r="M343" s="7" t="inlineStr">
        <is>
          <t>ATM</t>
        </is>
      </c>
      <c r="N343" s="7" t="inlineStr">
        <is>
          <t>N</t>
        </is>
      </c>
      <c r="O343" s="7">
        <f>TEXT(D343, "dddd")</f>
        <v/>
      </c>
      <c r="P343" s="7">
        <f>"Q"&amp;ROUNDUP(MONTH(D343)/3, 0)</f>
        <v/>
      </c>
    </row>
    <row r="344">
      <c r="A344" s="4" t="inlineStr">
        <is>
          <t>TXN100347</t>
        </is>
      </c>
      <c r="B344" s="4" t="inlineStr">
        <is>
          <t>CUST0347</t>
        </is>
      </c>
      <c r="C344" s="4" t="inlineStr">
        <is>
          <t>2026-06-01 06:27:00</t>
        </is>
      </c>
      <c r="D344" s="4">
        <f>TEXT(LEFT(C344,10),"YYYY-MM-DD")</f>
        <v/>
      </c>
      <c r="E344" s="5">
        <f>HOUR(C344)</f>
        <v/>
      </c>
      <c r="F344" s="4" t="inlineStr">
        <is>
          <t>Female</t>
        </is>
      </c>
      <c r="G344" s="5" t="n">
        <v>51</v>
      </c>
      <c r="H344" s="4">
        <f>IF(G344&gt;=60, "Boomer", IF(G344&gt;=45, "Gen X", IF(G344&gt;=25, "Millennial", "Gen Z")))</f>
        <v/>
      </c>
      <c r="I344" s="4" t="inlineStr">
        <is>
          <t>Checking</t>
        </is>
      </c>
      <c r="J344" s="4" t="inlineStr">
        <is>
          <t>Entertainment</t>
        </is>
      </c>
      <c r="K344" s="6" t="n">
        <v>6628.47</v>
      </c>
      <c r="L344" s="6" t="n">
        <v>17218.88</v>
      </c>
      <c r="M344" s="4" t="inlineStr">
        <is>
          <t>Online Banking</t>
        </is>
      </c>
      <c r="N344" s="4" t="inlineStr">
        <is>
          <t>N</t>
        </is>
      </c>
      <c r="O344" s="4">
        <f>TEXT(D344, "dddd")</f>
        <v/>
      </c>
      <c r="P344" s="4">
        <f>"Q"&amp;ROUNDUP(MONTH(D344)/3, 0)</f>
        <v/>
      </c>
    </row>
    <row r="345">
      <c r="A345" s="7" t="inlineStr">
        <is>
          <t>TXN100348</t>
        </is>
      </c>
      <c r="B345" s="7" t="inlineStr">
        <is>
          <t>CUST0348</t>
        </is>
      </c>
      <c r="C345" s="7" t="inlineStr">
        <is>
          <t>2026-06-01 18:54:00</t>
        </is>
      </c>
      <c r="D345" s="7">
        <f>TEXT(LEFT(C345,10),"YYYY-MM-DD")</f>
        <v/>
      </c>
      <c r="E345" s="8">
        <f>HOUR(C345)</f>
        <v/>
      </c>
      <c r="F345" s="7" t="inlineStr">
        <is>
          <t>Unspecified</t>
        </is>
      </c>
      <c r="G345" s="8" t="n">
        <v>70</v>
      </c>
      <c r="H345" s="7">
        <f>IF(G345&gt;=60, "Boomer", IF(G345&gt;=45, "Gen X", IF(G345&gt;=25, "Millennial", "Gen Z")))</f>
        <v/>
      </c>
      <c r="I345" s="7" t="inlineStr">
        <is>
          <t>Checking</t>
        </is>
      </c>
      <c r="J345" s="7" t="inlineStr">
        <is>
          <t>Groceries</t>
        </is>
      </c>
      <c r="K345" s="9" t="n">
        <v>377.08</v>
      </c>
      <c r="L345" s="9" t="n">
        <v>31495.89</v>
      </c>
      <c r="M345" s="7" t="inlineStr">
        <is>
          <t>ATM</t>
        </is>
      </c>
      <c r="N345" s="7" t="inlineStr">
        <is>
          <t>N</t>
        </is>
      </c>
      <c r="O345" s="7">
        <f>TEXT(D345, "dddd")</f>
        <v/>
      </c>
      <c r="P345" s="7">
        <f>"Q"&amp;ROUNDUP(MONTH(D345)/3, 0)</f>
        <v/>
      </c>
    </row>
    <row r="346">
      <c r="A346" s="4" t="inlineStr">
        <is>
          <t>TXN100349</t>
        </is>
      </c>
      <c r="B346" s="4" t="inlineStr">
        <is>
          <t>CUST0349</t>
        </is>
      </c>
      <c r="C346" s="4" t="inlineStr">
        <is>
          <t>2026-06-01 00:07:00</t>
        </is>
      </c>
      <c r="D346" s="4">
        <f>TEXT(LEFT(C346,10),"YYYY-MM-DD")</f>
        <v/>
      </c>
      <c r="E346" s="5">
        <f>HOUR(C346)</f>
        <v/>
      </c>
      <c r="F346" s="4" t="inlineStr">
        <is>
          <t>Male</t>
        </is>
      </c>
      <c r="G346" s="5" t="n">
        <v>48</v>
      </c>
      <c r="H346" s="4">
        <f>IF(G346&gt;=60, "Boomer", IF(G346&gt;=45, "Gen X", IF(G346&gt;=25, "Millennial", "Gen Z")))</f>
        <v/>
      </c>
      <c r="I346" s="4" t="inlineStr">
        <is>
          <t>Checking</t>
        </is>
      </c>
      <c r="J346" s="4" t="inlineStr">
        <is>
          <t>Groceries</t>
        </is>
      </c>
      <c r="K346" s="6" t="n">
        <v>7934.79</v>
      </c>
      <c r="L346" s="6" t="n">
        <v>21676.07</v>
      </c>
      <c r="M346" s="4" t="inlineStr">
        <is>
          <t>Online Banking</t>
        </is>
      </c>
      <c r="N346" s="4" t="inlineStr">
        <is>
          <t>Y</t>
        </is>
      </c>
      <c r="O346" s="4">
        <f>TEXT(D346, "dddd")</f>
        <v/>
      </c>
      <c r="P346" s="4">
        <f>"Q"&amp;ROUNDUP(MONTH(D346)/3, 0)</f>
        <v/>
      </c>
    </row>
    <row r="347">
      <c r="A347" s="7" t="inlineStr">
        <is>
          <t>TXN100350</t>
        </is>
      </c>
      <c r="B347" s="7" t="inlineStr">
        <is>
          <t>CUST0350</t>
        </is>
      </c>
      <c r="C347" s="7" t="inlineStr">
        <is>
          <t>2026-06-01 09:10:00</t>
        </is>
      </c>
      <c r="D347" s="7">
        <f>TEXT(LEFT(C347,10),"YYYY-MM-DD")</f>
        <v/>
      </c>
      <c r="E347" s="8">
        <f>HOUR(C347)</f>
        <v/>
      </c>
      <c r="F347" s="7" t="inlineStr">
        <is>
          <t>Female</t>
        </is>
      </c>
      <c r="G347" s="8" t="n">
        <v>25</v>
      </c>
      <c r="H347" s="7">
        <f>IF(G347&gt;=60, "Boomer", IF(G347&gt;=45, "Gen X", IF(G347&gt;=25, "Millennial", "Gen Z")))</f>
        <v/>
      </c>
      <c r="I347" s="7" t="inlineStr">
        <is>
          <t>Investment</t>
        </is>
      </c>
      <c r="J347" s="7" t="inlineStr">
        <is>
          <t>Entertainment</t>
        </is>
      </c>
      <c r="K347" s="9" t="n">
        <v>2010.61</v>
      </c>
      <c r="L347" s="9" t="n">
        <v>18906.27</v>
      </c>
      <c r="M347" s="7" t="inlineStr">
        <is>
          <t>Online Banking</t>
        </is>
      </c>
      <c r="N347" s="7" t="inlineStr">
        <is>
          <t>N</t>
        </is>
      </c>
      <c r="O347" s="7">
        <f>TEXT(D347, "dddd")</f>
        <v/>
      </c>
      <c r="P347" s="7">
        <f>"Q"&amp;ROUNDUP(MONTH(D347)/3, 0)</f>
        <v/>
      </c>
    </row>
    <row r="348">
      <c r="A348" s="4" t="inlineStr">
        <is>
          <t>TXN100351</t>
        </is>
      </c>
      <c r="B348" s="4" t="inlineStr">
        <is>
          <t>CUST0351</t>
        </is>
      </c>
      <c r="C348" s="4" t="inlineStr">
        <is>
          <t>2026-06-01 01:25:00</t>
        </is>
      </c>
      <c r="D348" s="4">
        <f>TEXT(LEFT(C348,10),"YYYY-MM-DD")</f>
        <v/>
      </c>
      <c r="E348" s="5">
        <f>HOUR(C348)</f>
        <v/>
      </c>
      <c r="F348" s="4" t="inlineStr">
        <is>
          <t>Female</t>
        </is>
      </c>
      <c r="G348" s="5" t="n">
        <v>66</v>
      </c>
      <c r="H348" s="4">
        <f>IF(G348&gt;=60, "Boomer", IF(G348&gt;=45, "Gen X", IF(G348&gt;=25, "Millennial", "Gen Z")))</f>
        <v/>
      </c>
      <c r="I348" s="4" t="inlineStr">
        <is>
          <t>Investment</t>
        </is>
      </c>
      <c r="J348" s="4" t="inlineStr">
        <is>
          <t>Groceries</t>
        </is>
      </c>
      <c r="K348" s="6" t="n">
        <v>3439.56</v>
      </c>
      <c r="L348" s="6" t="n">
        <v>5014.36</v>
      </c>
      <c r="M348" s="4" t="inlineStr">
        <is>
          <t>Mobile App</t>
        </is>
      </c>
      <c r="N348" s="4" t="inlineStr">
        <is>
          <t>N</t>
        </is>
      </c>
      <c r="O348" s="4">
        <f>TEXT(D348, "dddd")</f>
        <v/>
      </c>
      <c r="P348" s="4">
        <f>"Q"&amp;ROUNDUP(MONTH(D348)/3, 0)</f>
        <v/>
      </c>
    </row>
    <row r="349">
      <c r="A349" s="7" t="inlineStr">
        <is>
          <t>TXN100352</t>
        </is>
      </c>
      <c r="B349" s="7" t="inlineStr">
        <is>
          <t>CUST0352</t>
        </is>
      </c>
      <c r="C349" s="7" t="inlineStr">
        <is>
          <t>2026-06-01 00:13:00</t>
        </is>
      </c>
      <c r="D349" s="7">
        <f>TEXT(LEFT(C349,10),"YYYY-MM-DD")</f>
        <v/>
      </c>
      <c r="E349" s="8">
        <f>HOUR(C349)</f>
        <v/>
      </c>
      <c r="F349" s="7" t="inlineStr">
        <is>
          <t>Unspecified</t>
        </is>
      </c>
      <c r="G349" s="8" t="n">
        <v>24</v>
      </c>
      <c r="H349" s="7">
        <f>IF(G349&gt;=60, "Boomer", IF(G349&gt;=45, "Gen X", IF(G349&gt;=25, "Millennial", "Gen Z")))</f>
        <v/>
      </c>
      <c r="I349" s="7" t="inlineStr">
        <is>
          <t>Savings</t>
        </is>
      </c>
      <c r="J349" s="7" t="inlineStr">
        <is>
          <t>Travel</t>
        </is>
      </c>
      <c r="K349" s="9" t="n">
        <v>1817.26</v>
      </c>
      <c r="L349" s="9" t="n">
        <v>34159.14</v>
      </c>
      <c r="M349" s="7" t="inlineStr">
        <is>
          <t>Mobile App</t>
        </is>
      </c>
      <c r="N349" s="7" t="inlineStr">
        <is>
          <t>N</t>
        </is>
      </c>
      <c r="O349" s="7">
        <f>TEXT(D349, "dddd")</f>
        <v/>
      </c>
      <c r="P349" s="7">
        <f>"Q"&amp;ROUNDUP(MONTH(D349)/3, 0)</f>
        <v/>
      </c>
    </row>
    <row r="350">
      <c r="A350" s="4" t="inlineStr">
        <is>
          <t>TXN100353</t>
        </is>
      </c>
      <c r="B350" s="4" t="inlineStr">
        <is>
          <t>CUST0353</t>
        </is>
      </c>
      <c r="C350" s="4" t="inlineStr">
        <is>
          <t>2026-06-01 00:44:00</t>
        </is>
      </c>
      <c r="D350" s="4">
        <f>TEXT(LEFT(C350,10),"YYYY-MM-DD")</f>
        <v/>
      </c>
      <c r="E350" s="5">
        <f>HOUR(C350)</f>
        <v/>
      </c>
      <c r="F350" s="4" t="inlineStr">
        <is>
          <t>Female</t>
        </is>
      </c>
      <c r="G350" s="5" t="n">
        <v>72</v>
      </c>
      <c r="H350" s="4">
        <f>IF(G350&gt;=60, "Boomer", IF(G350&gt;=45, "Gen X", IF(G350&gt;=25, "Millennial", "Gen Z")))</f>
        <v/>
      </c>
      <c r="I350" s="4" t="inlineStr">
        <is>
          <t>Savings</t>
        </is>
      </c>
      <c r="J350" s="4" t="inlineStr">
        <is>
          <t>Utilities</t>
        </is>
      </c>
      <c r="K350" s="6" t="n">
        <v>5555.31</v>
      </c>
      <c r="L350" s="6" t="n">
        <v>24146.16</v>
      </c>
      <c r="M350" s="4" t="inlineStr">
        <is>
          <t>Online Banking</t>
        </is>
      </c>
      <c r="N350" s="4" t="inlineStr">
        <is>
          <t>N</t>
        </is>
      </c>
      <c r="O350" s="4">
        <f>TEXT(D350, "dddd")</f>
        <v/>
      </c>
      <c r="P350" s="4">
        <f>"Q"&amp;ROUNDUP(MONTH(D350)/3, 0)</f>
        <v/>
      </c>
    </row>
    <row r="351">
      <c r="A351" s="7" t="inlineStr">
        <is>
          <t>TXN100354</t>
        </is>
      </c>
      <c r="B351" s="7" t="inlineStr">
        <is>
          <t>CUST0354</t>
        </is>
      </c>
      <c r="C351" s="7" t="inlineStr">
        <is>
          <t>2026-06-01 12:05:00</t>
        </is>
      </c>
      <c r="D351" s="7">
        <f>TEXT(LEFT(C351,10),"YYYY-MM-DD")</f>
        <v/>
      </c>
      <c r="E351" s="8">
        <f>HOUR(C351)</f>
        <v/>
      </c>
      <c r="F351" s="7" t="inlineStr">
        <is>
          <t>Male</t>
        </is>
      </c>
      <c r="G351" s="8" t="n">
        <v>26</v>
      </c>
      <c r="H351" s="7">
        <f>IF(G351&gt;=60, "Boomer", IF(G351&gt;=45, "Gen X", IF(G351&gt;=25, "Millennial", "Gen Z")))</f>
        <v/>
      </c>
      <c r="I351" s="7" t="inlineStr">
        <is>
          <t>Checking</t>
        </is>
      </c>
      <c r="J351" s="7" t="inlineStr">
        <is>
          <t>Entertainment</t>
        </is>
      </c>
      <c r="K351" s="9" t="n">
        <v>7049.1</v>
      </c>
      <c r="L351" s="9" t="n">
        <v>7287.9</v>
      </c>
      <c r="M351" s="7" t="inlineStr">
        <is>
          <t>Online Banking</t>
        </is>
      </c>
      <c r="N351" s="7" t="inlineStr">
        <is>
          <t>Y</t>
        </is>
      </c>
      <c r="O351" s="7">
        <f>TEXT(D351, "dddd")</f>
        <v/>
      </c>
      <c r="P351" s="7">
        <f>"Q"&amp;ROUNDUP(MONTH(D351)/3, 0)</f>
        <v/>
      </c>
    </row>
    <row r="352">
      <c r="A352" s="4" t="inlineStr">
        <is>
          <t>TXN100355</t>
        </is>
      </c>
      <c r="B352" s="4" t="inlineStr">
        <is>
          <t>CUST0355</t>
        </is>
      </c>
      <c r="C352" s="4" t="inlineStr">
        <is>
          <t>2026-06-01 21:09:00</t>
        </is>
      </c>
      <c r="D352" s="4">
        <f>TEXT(LEFT(C352,10),"YYYY-MM-DD")</f>
        <v/>
      </c>
      <c r="E352" s="5">
        <f>HOUR(C352)</f>
        <v/>
      </c>
      <c r="F352" s="4" t="inlineStr">
        <is>
          <t>Male</t>
        </is>
      </c>
      <c r="G352" s="5" t="n">
        <v>53</v>
      </c>
      <c r="H352" s="4">
        <f>IF(G352&gt;=60, "Boomer", IF(G352&gt;=45, "Gen X", IF(G352&gt;=25, "Millennial", "Gen Z")))</f>
        <v/>
      </c>
      <c r="I352" s="4" t="inlineStr">
        <is>
          <t>Investment</t>
        </is>
      </c>
      <c r="J352" s="4" t="inlineStr">
        <is>
          <t>Groceries</t>
        </is>
      </c>
      <c r="K352" s="6" t="n">
        <v>4886.45</v>
      </c>
      <c r="L352" s="6" t="n">
        <v>8623.77</v>
      </c>
      <c r="M352" s="4" t="inlineStr">
        <is>
          <t>Branch Office</t>
        </is>
      </c>
      <c r="N352" s="4" t="inlineStr">
        <is>
          <t>N</t>
        </is>
      </c>
      <c r="O352" s="4">
        <f>TEXT(D352, "dddd")</f>
        <v/>
      </c>
      <c r="P352" s="4">
        <f>"Q"&amp;ROUNDUP(MONTH(D352)/3, 0)</f>
        <v/>
      </c>
    </row>
    <row r="353">
      <c r="A353" s="7" t="inlineStr">
        <is>
          <t>TXN100356</t>
        </is>
      </c>
      <c r="B353" s="7" t="inlineStr">
        <is>
          <t>CUST0356</t>
        </is>
      </c>
      <c r="C353" s="7" t="inlineStr">
        <is>
          <t>2026-06-01 23:13:00</t>
        </is>
      </c>
      <c r="D353" s="7">
        <f>TEXT(LEFT(C353,10),"YYYY-MM-DD")</f>
        <v/>
      </c>
      <c r="E353" s="8">
        <f>HOUR(C353)</f>
        <v/>
      </c>
      <c r="F353" s="7" t="inlineStr">
        <is>
          <t>Male</t>
        </is>
      </c>
      <c r="G353" s="8" t="n">
        <v>46</v>
      </c>
      <c r="H353" s="7">
        <f>IF(G353&gt;=60, "Boomer", IF(G353&gt;=45, "Gen X", IF(G353&gt;=25, "Millennial", "Gen Z")))</f>
        <v/>
      </c>
      <c r="I353" s="7" t="inlineStr">
        <is>
          <t>Investment</t>
        </is>
      </c>
      <c r="J353" s="7" t="inlineStr">
        <is>
          <t>Utilities</t>
        </is>
      </c>
      <c r="K353" s="9" t="n">
        <v>6881.1</v>
      </c>
      <c r="L353" s="9" t="n">
        <v>4791.06</v>
      </c>
      <c r="M353" s="7" t="inlineStr">
        <is>
          <t>Mobile App</t>
        </is>
      </c>
      <c r="N353" s="7" t="inlineStr">
        <is>
          <t>N</t>
        </is>
      </c>
      <c r="O353" s="7">
        <f>TEXT(D353, "dddd")</f>
        <v/>
      </c>
      <c r="P353" s="7">
        <f>"Q"&amp;ROUNDUP(MONTH(D353)/3, 0)</f>
        <v/>
      </c>
    </row>
    <row r="354">
      <c r="A354" s="4" t="inlineStr">
        <is>
          <t>TXN100357</t>
        </is>
      </c>
      <c r="B354" s="4" t="inlineStr">
        <is>
          <t>CUST0357</t>
        </is>
      </c>
      <c r="C354" s="4" t="inlineStr">
        <is>
          <t>2026-06-01 04:48:00</t>
        </is>
      </c>
      <c r="D354" s="4">
        <f>TEXT(LEFT(C354,10),"YYYY-MM-DD")</f>
        <v/>
      </c>
      <c r="E354" s="5">
        <f>HOUR(C354)</f>
        <v/>
      </c>
      <c r="F354" s="4" t="inlineStr">
        <is>
          <t>Male</t>
        </is>
      </c>
      <c r="G354" s="5" t="n">
        <v>57</v>
      </c>
      <c r="H354" s="4">
        <f>IF(G354&gt;=60, "Boomer", IF(G354&gt;=45, "Gen X", IF(G354&gt;=25, "Millennial", "Gen Z")))</f>
        <v/>
      </c>
      <c r="I354" s="4" t="inlineStr">
        <is>
          <t>Investment</t>
        </is>
      </c>
      <c r="J354" s="4" t="inlineStr">
        <is>
          <t>Utilities</t>
        </is>
      </c>
      <c r="K354" s="6" t="n">
        <v>2818.77</v>
      </c>
      <c r="L354" s="6" t="n">
        <v>21754.74</v>
      </c>
      <c r="M354" s="4" t="inlineStr">
        <is>
          <t>Online Banking</t>
        </is>
      </c>
      <c r="N354" s="4" t="inlineStr">
        <is>
          <t>N</t>
        </is>
      </c>
      <c r="O354" s="4">
        <f>TEXT(D354, "dddd")</f>
        <v/>
      </c>
      <c r="P354" s="4">
        <f>"Q"&amp;ROUNDUP(MONTH(D354)/3, 0)</f>
        <v/>
      </c>
    </row>
    <row r="355">
      <c r="A355" s="7" t="inlineStr">
        <is>
          <t>TXN100358</t>
        </is>
      </c>
      <c r="B355" s="7" t="inlineStr">
        <is>
          <t>CUST0358</t>
        </is>
      </c>
      <c r="C355" s="7" t="inlineStr">
        <is>
          <t>2026-06-01 07:17:00</t>
        </is>
      </c>
      <c r="D355" s="7">
        <f>TEXT(LEFT(C355,10),"YYYY-MM-DD")</f>
        <v/>
      </c>
      <c r="E355" s="8">
        <f>HOUR(C355)</f>
        <v/>
      </c>
      <c r="F355" s="7" t="inlineStr">
        <is>
          <t>Male</t>
        </is>
      </c>
      <c r="G355" s="8" t="n">
        <v>35</v>
      </c>
      <c r="H355" s="7">
        <f>IF(G355&gt;=60, "Boomer", IF(G355&gt;=45, "Gen X", IF(G355&gt;=25, "Millennial", "Gen Z")))</f>
        <v/>
      </c>
      <c r="I355" s="7" t="inlineStr">
        <is>
          <t>Investment</t>
        </is>
      </c>
      <c r="J355" s="7" t="inlineStr">
        <is>
          <t>Travel</t>
        </is>
      </c>
      <c r="K355" s="9" t="n">
        <v>4804.06</v>
      </c>
      <c r="L355" s="9" t="n">
        <v>30575.86</v>
      </c>
      <c r="M355" s="7" t="inlineStr">
        <is>
          <t>Mobile App</t>
        </is>
      </c>
      <c r="N355" s="7" t="inlineStr">
        <is>
          <t>N</t>
        </is>
      </c>
      <c r="O355" s="7">
        <f>TEXT(D355, "dddd")</f>
        <v/>
      </c>
      <c r="P355" s="7">
        <f>"Q"&amp;ROUNDUP(MONTH(D355)/3, 0)</f>
        <v/>
      </c>
    </row>
    <row r="356">
      <c r="A356" s="4" t="inlineStr">
        <is>
          <t>TXN100359</t>
        </is>
      </c>
      <c r="B356" s="4" t="inlineStr">
        <is>
          <t>CUST0359</t>
        </is>
      </c>
      <c r="C356" s="4" t="inlineStr">
        <is>
          <t>2026-06-01 21:56:00</t>
        </is>
      </c>
      <c r="D356" s="4">
        <f>TEXT(LEFT(C356,10),"YYYY-MM-DD")</f>
        <v/>
      </c>
      <c r="E356" s="5">
        <f>HOUR(C356)</f>
        <v/>
      </c>
      <c r="F356" s="4" t="inlineStr">
        <is>
          <t>Female</t>
        </is>
      </c>
      <c r="G356" s="5" t="n">
        <v>33</v>
      </c>
      <c r="H356" s="4">
        <f>IF(G356&gt;=60, "Boomer", IF(G356&gt;=45, "Gen X", IF(G356&gt;=25, "Millennial", "Gen Z")))</f>
        <v/>
      </c>
      <c r="I356" s="4" t="inlineStr">
        <is>
          <t>Investment</t>
        </is>
      </c>
      <c r="J356" s="4" t="inlineStr">
        <is>
          <t>Travel</t>
        </is>
      </c>
      <c r="K356" s="6" t="n">
        <v>4081.09</v>
      </c>
      <c r="L356" s="6" t="n">
        <v>37518.26</v>
      </c>
      <c r="M356" s="4" t="inlineStr">
        <is>
          <t>Branch Office</t>
        </is>
      </c>
      <c r="N356" s="4" t="inlineStr">
        <is>
          <t>N</t>
        </is>
      </c>
      <c r="O356" s="4">
        <f>TEXT(D356, "dddd")</f>
        <v/>
      </c>
      <c r="P356" s="4">
        <f>"Q"&amp;ROUNDUP(MONTH(D356)/3, 0)</f>
        <v/>
      </c>
    </row>
    <row r="357">
      <c r="A357" s="7" t="inlineStr">
        <is>
          <t>TXN100360</t>
        </is>
      </c>
      <c r="B357" s="7" t="inlineStr">
        <is>
          <t>CUST0360</t>
        </is>
      </c>
      <c r="C357" s="7" t="inlineStr">
        <is>
          <t>2026-06-01 20:03:00</t>
        </is>
      </c>
      <c r="D357" s="7">
        <f>TEXT(LEFT(C357,10),"YYYY-MM-DD")</f>
        <v/>
      </c>
      <c r="E357" s="8">
        <f>HOUR(C357)</f>
        <v/>
      </c>
      <c r="F357" s="7" t="inlineStr">
        <is>
          <t>Female</t>
        </is>
      </c>
      <c r="G357" s="8" t="n">
        <v>51</v>
      </c>
      <c r="H357" s="7">
        <f>IF(G357&gt;=60, "Boomer", IF(G357&gt;=45, "Gen X", IF(G357&gt;=25, "Millennial", "Gen Z")))</f>
        <v/>
      </c>
      <c r="I357" s="7" t="inlineStr">
        <is>
          <t>Checking</t>
        </is>
      </c>
      <c r="J357" s="7" t="inlineStr">
        <is>
          <t>Groceries</t>
        </is>
      </c>
      <c r="K357" s="9" t="n">
        <v>1936.24</v>
      </c>
      <c r="L357" s="9" t="n">
        <v>32085.08</v>
      </c>
      <c r="M357" s="7" t="inlineStr">
        <is>
          <t>Mobile App</t>
        </is>
      </c>
      <c r="N357" s="7" t="inlineStr">
        <is>
          <t>N</t>
        </is>
      </c>
      <c r="O357" s="7">
        <f>TEXT(D357, "dddd")</f>
        <v/>
      </c>
      <c r="P357" s="7">
        <f>"Q"&amp;ROUNDUP(MONTH(D357)/3, 0)</f>
        <v/>
      </c>
    </row>
    <row r="358">
      <c r="A358" s="4" t="inlineStr">
        <is>
          <t>TXN100361</t>
        </is>
      </c>
      <c r="B358" s="4" t="inlineStr">
        <is>
          <t>CUST0361</t>
        </is>
      </c>
      <c r="C358" s="4" t="inlineStr">
        <is>
          <t>2026-06-01 16:56:00</t>
        </is>
      </c>
      <c r="D358" s="4">
        <f>TEXT(LEFT(C358,10),"YYYY-MM-DD")</f>
        <v/>
      </c>
      <c r="E358" s="5">
        <f>HOUR(C358)</f>
        <v/>
      </c>
      <c r="F358" s="4" t="inlineStr">
        <is>
          <t>Male</t>
        </is>
      </c>
      <c r="G358" s="5" t="n">
        <v>43</v>
      </c>
      <c r="H358" s="4">
        <f>IF(G358&gt;=60, "Boomer", IF(G358&gt;=45, "Gen X", IF(G358&gt;=25, "Millennial", "Gen Z")))</f>
        <v/>
      </c>
      <c r="I358" s="4" t="inlineStr">
        <is>
          <t>Checking</t>
        </is>
      </c>
      <c r="J358" s="4" t="inlineStr">
        <is>
          <t>Groceries</t>
        </is>
      </c>
      <c r="K358" s="6" t="n">
        <v>3100.84</v>
      </c>
      <c r="L358" s="6" t="n">
        <v>42029.18</v>
      </c>
      <c r="M358" s="4" t="inlineStr">
        <is>
          <t>ATM</t>
        </is>
      </c>
      <c r="N358" s="4" t="inlineStr">
        <is>
          <t>N</t>
        </is>
      </c>
      <c r="O358" s="4">
        <f>TEXT(D358, "dddd")</f>
        <v/>
      </c>
      <c r="P358" s="4">
        <f>"Q"&amp;ROUNDUP(MONTH(D358)/3, 0)</f>
        <v/>
      </c>
    </row>
    <row r="359">
      <c r="A359" s="7" t="inlineStr">
        <is>
          <t>TXN100362</t>
        </is>
      </c>
      <c r="B359" s="7" t="inlineStr">
        <is>
          <t>CUST0362</t>
        </is>
      </c>
      <c r="C359" s="7" t="inlineStr">
        <is>
          <t>2026-06-01 11:34:00</t>
        </is>
      </c>
      <c r="D359" s="7">
        <f>TEXT(LEFT(C359,10),"YYYY-MM-DD")</f>
        <v/>
      </c>
      <c r="E359" s="8">
        <f>HOUR(C359)</f>
        <v/>
      </c>
      <c r="F359" s="7" t="inlineStr">
        <is>
          <t>Male</t>
        </is>
      </c>
      <c r="G359" s="8" t="n">
        <v>68</v>
      </c>
      <c r="H359" s="7">
        <f>IF(G359&gt;=60, "Boomer", IF(G359&gt;=45, "Gen X", IF(G359&gt;=25, "Millennial", "Gen Z")))</f>
        <v/>
      </c>
      <c r="I359" s="7" t="inlineStr">
        <is>
          <t>Checking</t>
        </is>
      </c>
      <c r="J359" s="7" t="inlineStr">
        <is>
          <t>Groceries</t>
        </is>
      </c>
      <c r="K359" s="9" t="n">
        <v>143.35</v>
      </c>
      <c r="L359" s="9" t="n">
        <v>3842.86</v>
      </c>
      <c r="M359" s="7" t="inlineStr">
        <is>
          <t>Branch Office</t>
        </is>
      </c>
      <c r="N359" s="7" t="inlineStr">
        <is>
          <t>N</t>
        </is>
      </c>
      <c r="O359" s="7">
        <f>TEXT(D359, "dddd")</f>
        <v/>
      </c>
      <c r="P359" s="7">
        <f>"Q"&amp;ROUNDUP(MONTH(D359)/3, 0)</f>
        <v/>
      </c>
    </row>
    <row r="360">
      <c r="A360" s="4" t="inlineStr">
        <is>
          <t>TXN100363</t>
        </is>
      </c>
      <c r="B360" s="4" t="inlineStr">
        <is>
          <t>CUST0363</t>
        </is>
      </c>
      <c r="C360" s="4" t="inlineStr">
        <is>
          <t>2026-06-01 06:02:00</t>
        </is>
      </c>
      <c r="D360" s="4">
        <f>TEXT(LEFT(C360,10),"YYYY-MM-DD")</f>
        <v/>
      </c>
      <c r="E360" s="5">
        <f>HOUR(C360)</f>
        <v/>
      </c>
      <c r="F360" s="4" t="inlineStr">
        <is>
          <t>Male</t>
        </is>
      </c>
      <c r="G360" s="5" t="n">
        <v>70</v>
      </c>
      <c r="H360" s="4">
        <f>IF(G360&gt;=60, "Boomer", IF(G360&gt;=45, "Gen X", IF(G360&gt;=25, "Millennial", "Gen Z")))</f>
        <v/>
      </c>
      <c r="I360" s="4" t="inlineStr">
        <is>
          <t>Checking</t>
        </is>
      </c>
      <c r="J360" s="4" t="inlineStr">
        <is>
          <t>Travel</t>
        </is>
      </c>
      <c r="K360" s="6" t="n">
        <v>2299.04</v>
      </c>
      <c r="L360" s="6" t="n">
        <v>35775.14</v>
      </c>
      <c r="M360" s="4" t="inlineStr">
        <is>
          <t>ATM</t>
        </is>
      </c>
      <c r="N360" s="4" t="inlineStr">
        <is>
          <t>N</t>
        </is>
      </c>
      <c r="O360" s="4">
        <f>TEXT(D360, "dddd")</f>
        <v/>
      </c>
      <c r="P360" s="4">
        <f>"Q"&amp;ROUNDUP(MONTH(D360)/3, 0)</f>
        <v/>
      </c>
    </row>
    <row r="361">
      <c r="A361" s="7" t="inlineStr">
        <is>
          <t>TXN100364</t>
        </is>
      </c>
      <c r="B361" s="7" t="inlineStr">
        <is>
          <t>CUST0364</t>
        </is>
      </c>
      <c r="C361" s="7" t="inlineStr">
        <is>
          <t>2026-06-01 13:44:00</t>
        </is>
      </c>
      <c r="D361" s="7">
        <f>TEXT(LEFT(C361,10),"YYYY-MM-DD")</f>
        <v/>
      </c>
      <c r="E361" s="8">
        <f>HOUR(C361)</f>
        <v/>
      </c>
      <c r="F361" s="7" t="inlineStr">
        <is>
          <t>Unspecified</t>
        </is>
      </c>
      <c r="G361" s="8" t="n">
        <v>25</v>
      </c>
      <c r="H361" s="7">
        <f>IF(G361&gt;=60, "Boomer", IF(G361&gt;=45, "Gen X", IF(G361&gt;=25, "Millennial", "Gen Z")))</f>
        <v/>
      </c>
      <c r="I361" s="7" t="inlineStr">
        <is>
          <t>Investment</t>
        </is>
      </c>
      <c r="J361" s="7" t="inlineStr">
        <is>
          <t>Travel</t>
        </is>
      </c>
      <c r="K361" s="9" t="n">
        <v>4305.87</v>
      </c>
      <c r="L361" s="9" t="n">
        <v>8057.68</v>
      </c>
      <c r="M361" s="7" t="inlineStr">
        <is>
          <t>Mobile App</t>
        </is>
      </c>
      <c r="N361" s="7" t="inlineStr">
        <is>
          <t>N</t>
        </is>
      </c>
      <c r="O361" s="7">
        <f>TEXT(D361, "dddd")</f>
        <v/>
      </c>
      <c r="P361" s="7">
        <f>"Q"&amp;ROUNDUP(MONTH(D361)/3, 0)</f>
        <v/>
      </c>
    </row>
    <row r="362">
      <c r="A362" s="4" t="inlineStr">
        <is>
          <t>TXN100365</t>
        </is>
      </c>
      <c r="B362" s="4" t="inlineStr">
        <is>
          <t>CUST0365</t>
        </is>
      </c>
      <c r="C362" s="4" t="inlineStr">
        <is>
          <t>2026-06-01 09:05:00</t>
        </is>
      </c>
      <c r="D362" s="4">
        <f>TEXT(LEFT(C362,10),"YYYY-MM-DD")</f>
        <v/>
      </c>
      <c r="E362" s="5">
        <f>HOUR(C362)</f>
        <v/>
      </c>
      <c r="F362" s="4" t="inlineStr">
        <is>
          <t>Female</t>
        </is>
      </c>
      <c r="G362" s="5" t="n">
        <v>71</v>
      </c>
      <c r="H362" s="4">
        <f>IF(G362&gt;=60, "Boomer", IF(G362&gt;=45, "Gen X", IF(G362&gt;=25, "Millennial", "Gen Z")))</f>
        <v/>
      </c>
      <c r="I362" s="4" t="inlineStr">
        <is>
          <t>Savings</t>
        </is>
      </c>
      <c r="J362" s="4" t="inlineStr">
        <is>
          <t>Travel</t>
        </is>
      </c>
      <c r="K362" s="6" t="n">
        <v>2620.73</v>
      </c>
      <c r="L362" s="6" t="n">
        <v>29528.64</v>
      </c>
      <c r="M362" s="4" t="inlineStr">
        <is>
          <t>Mobile App</t>
        </is>
      </c>
      <c r="N362" s="4" t="inlineStr">
        <is>
          <t>N</t>
        </is>
      </c>
      <c r="O362" s="4">
        <f>TEXT(D362, "dddd")</f>
        <v/>
      </c>
      <c r="P362" s="4">
        <f>"Q"&amp;ROUNDUP(MONTH(D362)/3, 0)</f>
        <v/>
      </c>
    </row>
    <row r="363">
      <c r="A363" s="7" t="inlineStr">
        <is>
          <t>TXN100366</t>
        </is>
      </c>
      <c r="B363" s="7" t="inlineStr">
        <is>
          <t>CUST0366</t>
        </is>
      </c>
      <c r="C363" s="7" t="inlineStr">
        <is>
          <t>2026-06-01 09:44:00</t>
        </is>
      </c>
      <c r="D363" s="7">
        <f>TEXT(LEFT(C363,10),"YYYY-MM-DD")</f>
        <v/>
      </c>
      <c r="E363" s="8">
        <f>HOUR(C363)</f>
        <v/>
      </c>
      <c r="F363" s="7" t="inlineStr">
        <is>
          <t>Unspecified</t>
        </is>
      </c>
      <c r="G363" s="8" t="n">
        <v>66</v>
      </c>
      <c r="H363" s="7">
        <f>IF(G363&gt;=60, "Boomer", IF(G363&gt;=45, "Gen X", IF(G363&gt;=25, "Millennial", "Gen Z")))</f>
        <v/>
      </c>
      <c r="I363" s="7" t="inlineStr">
        <is>
          <t>Savings</t>
        </is>
      </c>
      <c r="J363" s="7" t="inlineStr">
        <is>
          <t>Groceries</t>
        </is>
      </c>
      <c r="K363" s="9" t="n">
        <v>1963.39</v>
      </c>
      <c r="L363" s="9" t="n">
        <v>46269.07</v>
      </c>
      <c r="M363" s="7" t="inlineStr">
        <is>
          <t>Mobile App</t>
        </is>
      </c>
      <c r="N363" s="7" t="inlineStr">
        <is>
          <t>N</t>
        </is>
      </c>
      <c r="O363" s="7">
        <f>TEXT(D363, "dddd")</f>
        <v/>
      </c>
      <c r="P363" s="7">
        <f>"Q"&amp;ROUNDUP(MONTH(D363)/3, 0)</f>
        <v/>
      </c>
    </row>
    <row r="364">
      <c r="A364" s="4" t="inlineStr">
        <is>
          <t>TXN100367</t>
        </is>
      </c>
      <c r="B364" s="4" t="inlineStr">
        <is>
          <t>CUST0367</t>
        </is>
      </c>
      <c r="C364" s="4" t="inlineStr">
        <is>
          <t>2026-06-01 14:39:00</t>
        </is>
      </c>
      <c r="D364" s="4">
        <f>TEXT(LEFT(C364,10),"YYYY-MM-DD")</f>
        <v/>
      </c>
      <c r="E364" s="5">
        <f>HOUR(C364)</f>
        <v/>
      </c>
      <c r="F364" s="4" t="inlineStr">
        <is>
          <t>Male</t>
        </is>
      </c>
      <c r="G364" s="5" t="n">
        <v>39</v>
      </c>
      <c r="H364" s="4">
        <f>IF(G364&gt;=60, "Boomer", IF(G364&gt;=45, "Gen X", IF(G364&gt;=25, "Millennial", "Gen Z")))</f>
        <v/>
      </c>
      <c r="I364" s="4" t="inlineStr">
        <is>
          <t>Investment</t>
        </is>
      </c>
      <c r="J364" s="4" t="inlineStr">
        <is>
          <t>Groceries</t>
        </is>
      </c>
      <c r="K364" s="6" t="n">
        <v>964.35</v>
      </c>
      <c r="L364" s="6" t="n">
        <v>35541.08</v>
      </c>
      <c r="M364" s="4" t="inlineStr">
        <is>
          <t>Mobile App</t>
        </is>
      </c>
      <c r="N364" s="4" t="inlineStr">
        <is>
          <t>N</t>
        </is>
      </c>
      <c r="O364" s="4">
        <f>TEXT(D364, "dddd")</f>
        <v/>
      </c>
      <c r="P364" s="4">
        <f>"Q"&amp;ROUNDUP(MONTH(D364)/3, 0)</f>
        <v/>
      </c>
    </row>
    <row r="365">
      <c r="A365" s="7" t="inlineStr">
        <is>
          <t>TXN100368</t>
        </is>
      </c>
      <c r="B365" s="7" t="inlineStr">
        <is>
          <t>CUST0368</t>
        </is>
      </c>
      <c r="C365" s="7" t="inlineStr">
        <is>
          <t>2026-06-01 05:31:00</t>
        </is>
      </c>
      <c r="D365" s="7">
        <f>TEXT(LEFT(C365,10),"YYYY-MM-DD")</f>
        <v/>
      </c>
      <c r="E365" s="8">
        <f>HOUR(C365)</f>
        <v/>
      </c>
      <c r="F365" s="7" t="inlineStr">
        <is>
          <t>Female</t>
        </is>
      </c>
      <c r="G365" s="8" t="n">
        <v>53</v>
      </c>
      <c r="H365" s="7">
        <f>IF(G365&gt;=60, "Boomer", IF(G365&gt;=45, "Gen X", IF(G365&gt;=25, "Millennial", "Gen Z")))</f>
        <v/>
      </c>
      <c r="I365" s="7" t="inlineStr">
        <is>
          <t>Investment</t>
        </is>
      </c>
      <c r="J365" s="7" t="inlineStr">
        <is>
          <t>Entertainment</t>
        </is>
      </c>
      <c r="K365" s="9" t="n">
        <v>1344.03</v>
      </c>
      <c r="L365" s="9" t="n">
        <v>6783.07</v>
      </c>
      <c r="M365" s="7" t="inlineStr">
        <is>
          <t>Branch Office</t>
        </is>
      </c>
      <c r="N365" s="7" t="inlineStr">
        <is>
          <t>N</t>
        </is>
      </c>
      <c r="O365" s="7">
        <f>TEXT(D365, "dddd")</f>
        <v/>
      </c>
      <c r="P365" s="7">
        <f>"Q"&amp;ROUNDUP(MONTH(D365)/3, 0)</f>
        <v/>
      </c>
    </row>
    <row r="366">
      <c r="A366" s="4" t="inlineStr">
        <is>
          <t>TXN100369</t>
        </is>
      </c>
      <c r="B366" s="4" t="inlineStr">
        <is>
          <t>CUST0369</t>
        </is>
      </c>
      <c r="C366" s="4" t="inlineStr">
        <is>
          <t>2026-06-01 23:56:00</t>
        </is>
      </c>
      <c r="D366" s="4">
        <f>TEXT(LEFT(C366,10),"YYYY-MM-DD")</f>
        <v/>
      </c>
      <c r="E366" s="5">
        <f>HOUR(C366)</f>
        <v/>
      </c>
      <c r="F366" s="4" t="inlineStr">
        <is>
          <t>Male</t>
        </is>
      </c>
      <c r="G366" s="5" t="n">
        <v>69</v>
      </c>
      <c r="H366" s="4">
        <f>IF(G366&gt;=60, "Boomer", IF(G366&gt;=45, "Gen X", IF(G366&gt;=25, "Millennial", "Gen Z")))</f>
        <v/>
      </c>
      <c r="I366" s="4" t="inlineStr">
        <is>
          <t>Savings</t>
        </is>
      </c>
      <c r="J366" s="4" t="inlineStr">
        <is>
          <t>Entertainment</t>
        </is>
      </c>
      <c r="K366" s="6" t="n">
        <v>6458.79</v>
      </c>
      <c r="L366" s="6" t="n">
        <v>13963.04</v>
      </c>
      <c r="M366" s="4" t="inlineStr">
        <is>
          <t>Mobile App</t>
        </is>
      </c>
      <c r="N366" s="4" t="inlineStr">
        <is>
          <t>N</t>
        </is>
      </c>
      <c r="O366" s="4">
        <f>TEXT(D366, "dddd")</f>
        <v/>
      </c>
      <c r="P366" s="4">
        <f>"Q"&amp;ROUNDUP(MONTH(D366)/3, 0)</f>
        <v/>
      </c>
    </row>
    <row r="367">
      <c r="A367" s="7" t="inlineStr">
        <is>
          <t>TXN100370</t>
        </is>
      </c>
      <c r="B367" s="7" t="inlineStr">
        <is>
          <t>CUST0370</t>
        </is>
      </c>
      <c r="C367" s="7" t="inlineStr">
        <is>
          <t>2026-06-01 08:45:00</t>
        </is>
      </c>
      <c r="D367" s="7">
        <f>TEXT(LEFT(C367,10),"YYYY-MM-DD")</f>
        <v/>
      </c>
      <c r="E367" s="8">
        <f>HOUR(C367)</f>
        <v/>
      </c>
      <c r="F367" s="7" t="inlineStr">
        <is>
          <t>Male</t>
        </is>
      </c>
      <c r="G367" s="8" t="n">
        <v>51</v>
      </c>
      <c r="H367" s="7">
        <f>IF(G367&gt;=60, "Boomer", IF(G367&gt;=45, "Gen X", IF(G367&gt;=25, "Millennial", "Gen Z")))</f>
        <v/>
      </c>
      <c r="I367" s="7" t="inlineStr">
        <is>
          <t>Checking</t>
        </is>
      </c>
      <c r="J367" s="7" t="inlineStr">
        <is>
          <t>Travel</t>
        </is>
      </c>
      <c r="K367" s="9" t="n">
        <v>2887.39</v>
      </c>
      <c r="L367" s="9" t="n">
        <v>25230.7</v>
      </c>
      <c r="M367" s="7" t="inlineStr">
        <is>
          <t>Online Banking</t>
        </is>
      </c>
      <c r="N367" s="7" t="inlineStr">
        <is>
          <t>N</t>
        </is>
      </c>
      <c r="O367" s="7">
        <f>TEXT(D367, "dddd")</f>
        <v/>
      </c>
      <c r="P367" s="7">
        <f>"Q"&amp;ROUNDUP(MONTH(D367)/3, 0)</f>
        <v/>
      </c>
    </row>
    <row r="368">
      <c r="A368" s="4" t="inlineStr">
        <is>
          <t>TXN100371</t>
        </is>
      </c>
      <c r="B368" s="4" t="inlineStr">
        <is>
          <t>CUST0371</t>
        </is>
      </c>
      <c r="C368" s="4" t="inlineStr">
        <is>
          <t>2026-06-01 11:10:00</t>
        </is>
      </c>
      <c r="D368" s="4">
        <f>TEXT(LEFT(C368,10),"YYYY-MM-DD")</f>
        <v/>
      </c>
      <c r="E368" s="5">
        <f>HOUR(C368)</f>
        <v/>
      </c>
      <c r="F368" s="4" t="inlineStr">
        <is>
          <t>Female</t>
        </is>
      </c>
      <c r="G368" s="5" t="n">
        <v>69</v>
      </c>
      <c r="H368" s="4">
        <f>IF(G368&gt;=60, "Boomer", IF(G368&gt;=45, "Gen X", IF(G368&gt;=25, "Millennial", "Gen Z")))</f>
        <v/>
      </c>
      <c r="I368" s="4" t="inlineStr">
        <is>
          <t>Savings</t>
        </is>
      </c>
      <c r="J368" s="4" t="inlineStr">
        <is>
          <t>Travel</t>
        </is>
      </c>
      <c r="K368" s="6" t="n">
        <v>5396.22</v>
      </c>
      <c r="L368" s="6" t="n">
        <v>6209.01</v>
      </c>
      <c r="M368" s="4" t="inlineStr">
        <is>
          <t>Mobile App</t>
        </is>
      </c>
      <c r="N368" s="4" t="inlineStr">
        <is>
          <t>N</t>
        </is>
      </c>
      <c r="O368" s="4">
        <f>TEXT(D368, "dddd")</f>
        <v/>
      </c>
      <c r="P368" s="4">
        <f>"Q"&amp;ROUNDUP(MONTH(D368)/3, 0)</f>
        <v/>
      </c>
    </row>
    <row r="369">
      <c r="A369" s="7" t="inlineStr">
        <is>
          <t>TXN100372</t>
        </is>
      </c>
      <c r="B369" s="7" t="inlineStr">
        <is>
          <t>CUST0372</t>
        </is>
      </c>
      <c r="C369" s="7" t="inlineStr">
        <is>
          <t>2026-06-01 01:54:00</t>
        </is>
      </c>
      <c r="D369" s="7">
        <f>TEXT(LEFT(C369,10),"YYYY-MM-DD")</f>
        <v/>
      </c>
      <c r="E369" s="8">
        <f>HOUR(C369)</f>
        <v/>
      </c>
      <c r="F369" s="7" t="inlineStr">
        <is>
          <t>Male</t>
        </is>
      </c>
      <c r="G369" s="8" t="n">
        <v>35</v>
      </c>
      <c r="H369" s="7">
        <f>IF(G369&gt;=60, "Boomer", IF(G369&gt;=45, "Gen X", IF(G369&gt;=25, "Millennial", "Gen Z")))</f>
        <v/>
      </c>
      <c r="I369" s="7" t="inlineStr">
        <is>
          <t>Savings</t>
        </is>
      </c>
      <c r="J369" s="7" t="inlineStr">
        <is>
          <t>Utilities</t>
        </is>
      </c>
      <c r="K369" s="9" t="n">
        <v>2918.17</v>
      </c>
      <c r="L369" s="9" t="n">
        <v>46051.21</v>
      </c>
      <c r="M369" s="7" t="inlineStr">
        <is>
          <t>Online Banking</t>
        </is>
      </c>
      <c r="N369" s="7" t="inlineStr">
        <is>
          <t>N</t>
        </is>
      </c>
      <c r="O369" s="7">
        <f>TEXT(D369, "dddd")</f>
        <v/>
      </c>
      <c r="P369" s="7">
        <f>"Q"&amp;ROUNDUP(MONTH(D369)/3, 0)</f>
        <v/>
      </c>
    </row>
    <row r="370">
      <c r="A370" s="4" t="inlineStr">
        <is>
          <t>TXN100373</t>
        </is>
      </c>
      <c r="B370" s="4" t="inlineStr">
        <is>
          <t>CUST0373</t>
        </is>
      </c>
      <c r="C370" s="4" t="inlineStr">
        <is>
          <t>2026-06-01 01:35:00</t>
        </is>
      </c>
      <c r="D370" s="4">
        <f>TEXT(LEFT(C370,10),"YYYY-MM-DD")</f>
        <v/>
      </c>
      <c r="E370" s="5">
        <f>HOUR(C370)</f>
        <v/>
      </c>
      <c r="F370" s="4" t="inlineStr">
        <is>
          <t>Unspecified</t>
        </is>
      </c>
      <c r="G370" s="5" t="n">
        <v>34</v>
      </c>
      <c r="H370" s="4">
        <f>IF(G370&gt;=60, "Boomer", IF(G370&gt;=45, "Gen X", IF(G370&gt;=25, "Millennial", "Gen Z")))</f>
        <v/>
      </c>
      <c r="I370" s="4" t="inlineStr">
        <is>
          <t>Checking</t>
        </is>
      </c>
      <c r="J370" s="4" t="inlineStr">
        <is>
          <t>Groceries</t>
        </is>
      </c>
      <c r="K370" s="6" t="n">
        <v>3335.89</v>
      </c>
      <c r="L370" s="6" t="n">
        <v>36154.25</v>
      </c>
      <c r="M370" s="4" t="inlineStr">
        <is>
          <t>Branch Office</t>
        </is>
      </c>
      <c r="N370" s="4" t="inlineStr">
        <is>
          <t>N</t>
        </is>
      </c>
      <c r="O370" s="4">
        <f>TEXT(D370, "dddd")</f>
        <v/>
      </c>
      <c r="P370" s="4">
        <f>"Q"&amp;ROUNDUP(MONTH(D370)/3, 0)</f>
        <v/>
      </c>
    </row>
    <row r="371">
      <c r="A371" s="7" t="inlineStr">
        <is>
          <t>TXN100374</t>
        </is>
      </c>
      <c r="B371" s="7" t="inlineStr">
        <is>
          <t>CUST0374</t>
        </is>
      </c>
      <c r="C371" s="7" t="inlineStr">
        <is>
          <t>2026-06-01 02:36:00</t>
        </is>
      </c>
      <c r="D371" s="7">
        <f>TEXT(LEFT(C371,10),"YYYY-MM-DD")</f>
        <v/>
      </c>
      <c r="E371" s="8">
        <f>HOUR(C371)</f>
        <v/>
      </c>
      <c r="F371" s="7" t="inlineStr">
        <is>
          <t>Female</t>
        </is>
      </c>
      <c r="G371" s="8" t="n">
        <v>27</v>
      </c>
      <c r="H371" s="7">
        <f>IF(G371&gt;=60, "Boomer", IF(G371&gt;=45, "Gen X", IF(G371&gt;=25, "Millennial", "Gen Z")))</f>
        <v/>
      </c>
      <c r="I371" s="7" t="inlineStr">
        <is>
          <t>Investment</t>
        </is>
      </c>
      <c r="J371" s="7" t="inlineStr">
        <is>
          <t>Groceries</t>
        </is>
      </c>
      <c r="K371" s="9" t="n">
        <v>1442.96</v>
      </c>
      <c r="L371" s="9" t="n">
        <v>40314.73</v>
      </c>
      <c r="M371" s="7" t="inlineStr">
        <is>
          <t>Mobile App</t>
        </is>
      </c>
      <c r="N371" s="7" t="inlineStr">
        <is>
          <t>N</t>
        </is>
      </c>
      <c r="O371" s="7">
        <f>TEXT(D371, "dddd")</f>
        <v/>
      </c>
      <c r="P371" s="7">
        <f>"Q"&amp;ROUNDUP(MONTH(D371)/3, 0)</f>
        <v/>
      </c>
    </row>
    <row r="372">
      <c r="A372" s="4" t="inlineStr">
        <is>
          <t>TXN100375</t>
        </is>
      </c>
      <c r="B372" s="4" t="inlineStr">
        <is>
          <t>CUST0375</t>
        </is>
      </c>
      <c r="C372" s="4" t="inlineStr">
        <is>
          <t>2026-06-01 12:04:00</t>
        </is>
      </c>
      <c r="D372" s="4">
        <f>TEXT(LEFT(C372,10),"YYYY-MM-DD")</f>
        <v/>
      </c>
      <c r="E372" s="5">
        <f>HOUR(C372)</f>
        <v/>
      </c>
      <c r="F372" s="4" t="inlineStr">
        <is>
          <t>Unspecified</t>
        </is>
      </c>
      <c r="G372" s="5" t="n">
        <v>75</v>
      </c>
      <c r="H372" s="4">
        <f>IF(G372&gt;=60, "Boomer", IF(G372&gt;=45, "Gen X", IF(G372&gt;=25, "Millennial", "Gen Z")))</f>
        <v/>
      </c>
      <c r="I372" s="4" t="inlineStr">
        <is>
          <t>Checking</t>
        </is>
      </c>
      <c r="J372" s="4" t="inlineStr">
        <is>
          <t>Entertainment</t>
        </is>
      </c>
      <c r="K372" s="6" t="n">
        <v>2625.13</v>
      </c>
      <c r="L372" s="6" t="n">
        <v>27878.02</v>
      </c>
      <c r="M372" s="4" t="inlineStr">
        <is>
          <t>Mobile App</t>
        </is>
      </c>
      <c r="N372" s="4" t="inlineStr">
        <is>
          <t>N</t>
        </is>
      </c>
      <c r="O372" s="4">
        <f>TEXT(D372, "dddd")</f>
        <v/>
      </c>
      <c r="P372" s="4">
        <f>"Q"&amp;ROUNDUP(MONTH(D372)/3, 0)</f>
        <v/>
      </c>
    </row>
    <row r="373">
      <c r="A373" s="7" t="inlineStr">
        <is>
          <t>TXN100376</t>
        </is>
      </c>
      <c r="B373" s="7" t="inlineStr">
        <is>
          <t>CUST0376</t>
        </is>
      </c>
      <c r="C373" s="7" t="inlineStr">
        <is>
          <t>2026-06-01 11:12:00</t>
        </is>
      </c>
      <c r="D373" s="7">
        <f>TEXT(LEFT(C373,10),"YYYY-MM-DD")</f>
        <v/>
      </c>
      <c r="E373" s="8">
        <f>HOUR(C373)</f>
        <v/>
      </c>
      <c r="F373" s="7" t="inlineStr">
        <is>
          <t>Female</t>
        </is>
      </c>
      <c r="G373" s="8" t="n">
        <v>56</v>
      </c>
      <c r="H373" s="7">
        <f>IF(G373&gt;=60, "Boomer", IF(G373&gt;=45, "Gen X", IF(G373&gt;=25, "Millennial", "Gen Z")))</f>
        <v/>
      </c>
      <c r="I373" s="7" t="inlineStr">
        <is>
          <t>Checking</t>
        </is>
      </c>
      <c r="J373" s="7" t="inlineStr">
        <is>
          <t>Travel</t>
        </is>
      </c>
      <c r="K373" s="9" t="n">
        <v>1948.25</v>
      </c>
      <c r="L373" s="9" t="n">
        <v>18729.54</v>
      </c>
      <c r="M373" s="7" t="inlineStr">
        <is>
          <t>ATM</t>
        </is>
      </c>
      <c r="N373" s="7" t="inlineStr">
        <is>
          <t>N</t>
        </is>
      </c>
      <c r="O373" s="7">
        <f>TEXT(D373, "dddd")</f>
        <v/>
      </c>
      <c r="P373" s="7">
        <f>"Q"&amp;ROUNDUP(MONTH(D373)/3, 0)</f>
        <v/>
      </c>
    </row>
    <row r="374">
      <c r="A374" s="4" t="inlineStr">
        <is>
          <t>TXN100377</t>
        </is>
      </c>
      <c r="B374" s="4" t="inlineStr">
        <is>
          <t>CUST0377</t>
        </is>
      </c>
      <c r="C374" s="4" t="inlineStr">
        <is>
          <t>2026-06-01 06:46:00</t>
        </is>
      </c>
      <c r="D374" s="4">
        <f>TEXT(LEFT(C374,10),"YYYY-MM-DD")</f>
        <v/>
      </c>
      <c r="E374" s="5">
        <f>HOUR(C374)</f>
        <v/>
      </c>
      <c r="F374" s="4" t="inlineStr">
        <is>
          <t>Female</t>
        </is>
      </c>
      <c r="G374" s="5" t="n">
        <v>29</v>
      </c>
      <c r="H374" s="4">
        <f>IF(G374&gt;=60, "Boomer", IF(G374&gt;=45, "Gen X", IF(G374&gt;=25, "Millennial", "Gen Z")))</f>
        <v/>
      </c>
      <c r="I374" s="4" t="inlineStr">
        <is>
          <t>Savings</t>
        </is>
      </c>
      <c r="J374" s="4" t="inlineStr">
        <is>
          <t>Utilities</t>
        </is>
      </c>
      <c r="K374" s="6" t="n">
        <v>201.04</v>
      </c>
      <c r="L374" s="6" t="n">
        <v>27306.49</v>
      </c>
      <c r="M374" s="4" t="inlineStr">
        <is>
          <t>Mobile App</t>
        </is>
      </c>
      <c r="N374" s="4" t="inlineStr">
        <is>
          <t>N</t>
        </is>
      </c>
      <c r="O374" s="4">
        <f>TEXT(D374, "dddd")</f>
        <v/>
      </c>
      <c r="P374" s="4">
        <f>"Q"&amp;ROUNDUP(MONTH(D374)/3, 0)</f>
        <v/>
      </c>
    </row>
    <row r="375">
      <c r="A375" s="7" t="inlineStr">
        <is>
          <t>TXN100378</t>
        </is>
      </c>
      <c r="B375" s="7" t="inlineStr">
        <is>
          <t>CUST0378</t>
        </is>
      </c>
      <c r="C375" s="7" t="inlineStr">
        <is>
          <t>2026-06-01 10:00:00</t>
        </is>
      </c>
      <c r="D375" s="7">
        <f>TEXT(LEFT(C375,10),"YYYY-MM-DD")</f>
        <v/>
      </c>
      <c r="E375" s="8">
        <f>HOUR(C375)</f>
        <v/>
      </c>
      <c r="F375" s="7" t="inlineStr">
        <is>
          <t>Unspecified</t>
        </is>
      </c>
      <c r="G375" s="8" t="n">
        <v>74</v>
      </c>
      <c r="H375" s="7">
        <f>IF(G375&gt;=60, "Boomer", IF(G375&gt;=45, "Gen X", IF(G375&gt;=25, "Millennial", "Gen Z")))</f>
        <v/>
      </c>
      <c r="I375" s="7" t="inlineStr">
        <is>
          <t>Investment</t>
        </is>
      </c>
      <c r="J375" s="7" t="inlineStr">
        <is>
          <t>Entertainment</t>
        </is>
      </c>
      <c r="K375" s="9" t="n">
        <v>840.55</v>
      </c>
      <c r="L375" s="9" t="n">
        <v>26725.82</v>
      </c>
      <c r="M375" s="7" t="inlineStr">
        <is>
          <t>Online Banking</t>
        </is>
      </c>
      <c r="N375" s="7" t="inlineStr">
        <is>
          <t>N</t>
        </is>
      </c>
      <c r="O375" s="7">
        <f>TEXT(D375, "dddd")</f>
        <v/>
      </c>
      <c r="P375" s="7">
        <f>"Q"&amp;ROUNDUP(MONTH(D375)/3, 0)</f>
        <v/>
      </c>
    </row>
    <row r="376">
      <c r="A376" s="4" t="inlineStr">
        <is>
          <t>TXN100379</t>
        </is>
      </c>
      <c r="B376" s="4" t="inlineStr">
        <is>
          <t>CUST0379</t>
        </is>
      </c>
      <c r="C376" s="4" t="inlineStr">
        <is>
          <t>2026-06-01 13:31:00</t>
        </is>
      </c>
      <c r="D376" s="4">
        <f>TEXT(LEFT(C376,10),"YYYY-MM-DD")</f>
        <v/>
      </c>
      <c r="E376" s="5">
        <f>HOUR(C376)</f>
        <v/>
      </c>
      <c r="F376" s="4" t="inlineStr">
        <is>
          <t>Male</t>
        </is>
      </c>
      <c r="G376" s="5" t="n">
        <v>29</v>
      </c>
      <c r="H376" s="4">
        <f>IF(G376&gt;=60, "Boomer", IF(G376&gt;=45, "Gen X", IF(G376&gt;=25, "Millennial", "Gen Z")))</f>
        <v/>
      </c>
      <c r="I376" s="4" t="inlineStr">
        <is>
          <t>Investment</t>
        </is>
      </c>
      <c r="J376" s="4" t="inlineStr">
        <is>
          <t>Entertainment</t>
        </is>
      </c>
      <c r="K376" s="6" t="n">
        <v>753.28</v>
      </c>
      <c r="L376" s="6" t="n">
        <v>46103.08</v>
      </c>
      <c r="M376" s="4" t="inlineStr">
        <is>
          <t>ATM</t>
        </is>
      </c>
      <c r="N376" s="4" t="inlineStr">
        <is>
          <t>N</t>
        </is>
      </c>
      <c r="O376" s="4">
        <f>TEXT(D376, "dddd")</f>
        <v/>
      </c>
      <c r="P376" s="4">
        <f>"Q"&amp;ROUNDUP(MONTH(D376)/3, 0)</f>
        <v/>
      </c>
    </row>
    <row r="377">
      <c r="A377" s="7" t="inlineStr">
        <is>
          <t>TXN100380</t>
        </is>
      </c>
      <c r="B377" s="7" t="inlineStr">
        <is>
          <t>CUST0380</t>
        </is>
      </c>
      <c r="C377" s="7" t="inlineStr">
        <is>
          <t>2026-06-01 22:57:00</t>
        </is>
      </c>
      <c r="D377" s="7">
        <f>TEXT(LEFT(C377,10),"YYYY-MM-DD")</f>
        <v/>
      </c>
      <c r="E377" s="8">
        <f>HOUR(C377)</f>
        <v/>
      </c>
      <c r="F377" s="7" t="inlineStr">
        <is>
          <t>Female</t>
        </is>
      </c>
      <c r="G377" s="8" t="n">
        <v>49</v>
      </c>
      <c r="H377" s="7">
        <f>IF(G377&gt;=60, "Boomer", IF(G377&gt;=45, "Gen X", IF(G377&gt;=25, "Millennial", "Gen Z")))</f>
        <v/>
      </c>
      <c r="I377" s="7" t="inlineStr">
        <is>
          <t>Investment</t>
        </is>
      </c>
      <c r="J377" s="7" t="inlineStr">
        <is>
          <t>Groceries</t>
        </is>
      </c>
      <c r="K377" s="9" t="n">
        <v>4650.36</v>
      </c>
      <c r="L377" s="9" t="n">
        <v>25518.67</v>
      </c>
      <c r="M377" s="7" t="inlineStr">
        <is>
          <t>ATM</t>
        </is>
      </c>
      <c r="N377" s="7" t="inlineStr">
        <is>
          <t>N</t>
        </is>
      </c>
      <c r="O377" s="7">
        <f>TEXT(D377, "dddd")</f>
        <v/>
      </c>
      <c r="P377" s="7">
        <f>"Q"&amp;ROUNDUP(MONTH(D377)/3, 0)</f>
        <v/>
      </c>
    </row>
    <row r="378">
      <c r="A378" s="4" t="inlineStr">
        <is>
          <t>TXN100381</t>
        </is>
      </c>
      <c r="B378" s="4" t="inlineStr">
        <is>
          <t>CUST0381</t>
        </is>
      </c>
      <c r="C378" s="4" t="inlineStr">
        <is>
          <t>2026-06-01 02:37:00</t>
        </is>
      </c>
      <c r="D378" s="4">
        <f>TEXT(LEFT(C378,10),"YYYY-MM-DD")</f>
        <v/>
      </c>
      <c r="E378" s="5">
        <f>HOUR(C378)</f>
        <v/>
      </c>
      <c r="F378" s="4" t="inlineStr">
        <is>
          <t>Male</t>
        </is>
      </c>
      <c r="G378" s="5" t="n">
        <v>47</v>
      </c>
      <c r="H378" s="4">
        <f>IF(G378&gt;=60, "Boomer", IF(G378&gt;=45, "Gen X", IF(G378&gt;=25, "Millennial", "Gen Z")))</f>
        <v/>
      </c>
      <c r="I378" s="4" t="inlineStr">
        <is>
          <t>Investment</t>
        </is>
      </c>
      <c r="J378" s="4" t="inlineStr">
        <is>
          <t>Groceries</t>
        </is>
      </c>
      <c r="K378" s="6" t="n">
        <v>1901.81</v>
      </c>
      <c r="L378" s="6" t="n">
        <v>13419.05</v>
      </c>
      <c r="M378" s="4" t="inlineStr">
        <is>
          <t>Branch Office</t>
        </is>
      </c>
      <c r="N378" s="4" t="inlineStr">
        <is>
          <t>N</t>
        </is>
      </c>
      <c r="O378" s="4">
        <f>TEXT(D378, "dddd")</f>
        <v/>
      </c>
      <c r="P378" s="4">
        <f>"Q"&amp;ROUNDUP(MONTH(D378)/3, 0)</f>
        <v/>
      </c>
    </row>
    <row r="379">
      <c r="A379" s="7" t="inlineStr">
        <is>
          <t>TXN100382</t>
        </is>
      </c>
      <c r="B379" s="7" t="inlineStr">
        <is>
          <t>CUST0382</t>
        </is>
      </c>
      <c r="C379" s="7" t="inlineStr">
        <is>
          <t>2026-06-01 12:44:00</t>
        </is>
      </c>
      <c r="D379" s="7">
        <f>TEXT(LEFT(C379,10),"YYYY-MM-DD")</f>
        <v/>
      </c>
      <c r="E379" s="8">
        <f>HOUR(C379)</f>
        <v/>
      </c>
      <c r="F379" s="7" t="inlineStr">
        <is>
          <t>Female</t>
        </is>
      </c>
      <c r="G379" s="8" t="n">
        <v>40</v>
      </c>
      <c r="H379" s="7">
        <f>IF(G379&gt;=60, "Boomer", IF(G379&gt;=45, "Gen X", IF(G379&gt;=25, "Millennial", "Gen Z")))</f>
        <v/>
      </c>
      <c r="I379" s="7" t="inlineStr">
        <is>
          <t>Checking</t>
        </is>
      </c>
      <c r="J379" s="7" t="inlineStr">
        <is>
          <t>Entertainment</t>
        </is>
      </c>
      <c r="K379" s="9" t="n">
        <v>1876.55</v>
      </c>
      <c r="L379" s="9" t="n">
        <v>47205.96</v>
      </c>
      <c r="M379" s="7" t="inlineStr">
        <is>
          <t>Online Banking</t>
        </is>
      </c>
      <c r="N379" s="7" t="inlineStr">
        <is>
          <t>N</t>
        </is>
      </c>
      <c r="O379" s="7">
        <f>TEXT(D379, "dddd")</f>
        <v/>
      </c>
      <c r="P379" s="7">
        <f>"Q"&amp;ROUNDUP(MONTH(D379)/3, 0)</f>
        <v/>
      </c>
    </row>
    <row r="380">
      <c r="A380" s="4" t="inlineStr">
        <is>
          <t>TXN100383</t>
        </is>
      </c>
      <c r="B380" s="4" t="inlineStr">
        <is>
          <t>CUST0383</t>
        </is>
      </c>
      <c r="C380" s="4" t="inlineStr">
        <is>
          <t>2026-06-01 18:06:00</t>
        </is>
      </c>
      <c r="D380" s="4">
        <f>TEXT(LEFT(C380,10),"YYYY-MM-DD")</f>
        <v/>
      </c>
      <c r="E380" s="5">
        <f>HOUR(C380)</f>
        <v/>
      </c>
      <c r="F380" s="4" t="inlineStr">
        <is>
          <t>Male</t>
        </is>
      </c>
      <c r="G380" s="5" t="n">
        <v>26</v>
      </c>
      <c r="H380" s="4">
        <f>IF(G380&gt;=60, "Boomer", IF(G380&gt;=45, "Gen X", IF(G380&gt;=25, "Millennial", "Gen Z")))</f>
        <v/>
      </c>
      <c r="I380" s="4" t="inlineStr">
        <is>
          <t>Savings</t>
        </is>
      </c>
      <c r="J380" s="4" t="inlineStr">
        <is>
          <t>Utilities</t>
        </is>
      </c>
      <c r="K380" s="6" t="n">
        <v>3733.78</v>
      </c>
      <c r="L380" s="6" t="n">
        <v>20622.37</v>
      </c>
      <c r="M380" s="4" t="inlineStr">
        <is>
          <t>Branch Office</t>
        </is>
      </c>
      <c r="N380" s="4" t="inlineStr">
        <is>
          <t>N</t>
        </is>
      </c>
      <c r="O380" s="4">
        <f>TEXT(D380, "dddd")</f>
        <v/>
      </c>
      <c r="P380" s="4">
        <f>"Q"&amp;ROUNDUP(MONTH(D380)/3, 0)</f>
        <v/>
      </c>
    </row>
    <row r="381">
      <c r="A381" s="7" t="inlineStr">
        <is>
          <t>TXN100384</t>
        </is>
      </c>
      <c r="B381" s="7" t="inlineStr">
        <is>
          <t>CUST0384</t>
        </is>
      </c>
      <c r="C381" s="7" t="inlineStr">
        <is>
          <t>2026-06-01 06:28:00</t>
        </is>
      </c>
      <c r="D381" s="7">
        <f>TEXT(LEFT(C381,10),"YYYY-MM-DD")</f>
        <v/>
      </c>
      <c r="E381" s="8">
        <f>HOUR(C381)</f>
        <v/>
      </c>
      <c r="F381" s="7" t="inlineStr">
        <is>
          <t>Female</t>
        </is>
      </c>
      <c r="G381" s="8" t="n">
        <v>49</v>
      </c>
      <c r="H381" s="7">
        <f>IF(G381&gt;=60, "Boomer", IF(G381&gt;=45, "Gen X", IF(G381&gt;=25, "Millennial", "Gen Z")))</f>
        <v/>
      </c>
      <c r="I381" s="7" t="inlineStr">
        <is>
          <t>Checking</t>
        </is>
      </c>
      <c r="J381" s="7" t="inlineStr">
        <is>
          <t>Groceries</t>
        </is>
      </c>
      <c r="K381" s="9" t="n">
        <v>732.46</v>
      </c>
      <c r="L381" s="9" t="n">
        <v>40476.05</v>
      </c>
      <c r="M381" s="7" t="inlineStr">
        <is>
          <t>Branch Office</t>
        </is>
      </c>
      <c r="N381" s="7" t="inlineStr">
        <is>
          <t>N</t>
        </is>
      </c>
      <c r="O381" s="7">
        <f>TEXT(D381, "dddd")</f>
        <v/>
      </c>
      <c r="P381" s="7">
        <f>"Q"&amp;ROUNDUP(MONTH(D381)/3, 0)</f>
        <v/>
      </c>
    </row>
    <row r="382">
      <c r="A382" s="4" t="inlineStr">
        <is>
          <t>TXN100385</t>
        </is>
      </c>
      <c r="B382" s="4" t="inlineStr">
        <is>
          <t>CUST0385</t>
        </is>
      </c>
      <c r="C382" s="4" t="inlineStr">
        <is>
          <t>2026-06-01 22:44:00</t>
        </is>
      </c>
      <c r="D382" s="4">
        <f>TEXT(LEFT(C382,10),"YYYY-MM-DD")</f>
        <v/>
      </c>
      <c r="E382" s="5">
        <f>HOUR(C382)</f>
        <v/>
      </c>
      <c r="F382" s="4" t="inlineStr">
        <is>
          <t>Male</t>
        </is>
      </c>
      <c r="G382" s="5" t="n">
        <v>33</v>
      </c>
      <c r="H382" s="4">
        <f>IF(G382&gt;=60, "Boomer", IF(G382&gt;=45, "Gen X", IF(G382&gt;=25, "Millennial", "Gen Z")))</f>
        <v/>
      </c>
      <c r="I382" s="4" t="inlineStr">
        <is>
          <t>Checking</t>
        </is>
      </c>
      <c r="J382" s="4" t="inlineStr">
        <is>
          <t>Groceries</t>
        </is>
      </c>
      <c r="K382" s="6" t="n">
        <v>738.79</v>
      </c>
      <c r="L382" s="6" t="n">
        <v>12786.83</v>
      </c>
      <c r="M382" s="4" t="inlineStr">
        <is>
          <t>Branch Office</t>
        </is>
      </c>
      <c r="N382" s="4" t="inlineStr">
        <is>
          <t>N</t>
        </is>
      </c>
      <c r="O382" s="4">
        <f>TEXT(D382, "dddd")</f>
        <v/>
      </c>
      <c r="P382" s="4">
        <f>"Q"&amp;ROUNDUP(MONTH(D382)/3, 0)</f>
        <v/>
      </c>
    </row>
    <row r="383">
      <c r="A383" s="7" t="inlineStr">
        <is>
          <t>TXN100386</t>
        </is>
      </c>
      <c r="B383" s="7" t="inlineStr">
        <is>
          <t>CUST0386</t>
        </is>
      </c>
      <c r="C383" s="7" t="inlineStr">
        <is>
          <t>2026-06-01 12:32:00</t>
        </is>
      </c>
      <c r="D383" s="7">
        <f>TEXT(LEFT(C383,10),"YYYY-MM-DD")</f>
        <v/>
      </c>
      <c r="E383" s="8">
        <f>HOUR(C383)</f>
        <v/>
      </c>
      <c r="F383" s="7" t="inlineStr">
        <is>
          <t>Male</t>
        </is>
      </c>
      <c r="G383" s="8" t="n">
        <v>63</v>
      </c>
      <c r="H383" s="7">
        <f>IF(G383&gt;=60, "Boomer", IF(G383&gt;=45, "Gen X", IF(G383&gt;=25, "Millennial", "Gen Z")))</f>
        <v/>
      </c>
      <c r="I383" s="7" t="inlineStr">
        <is>
          <t>Checking</t>
        </is>
      </c>
      <c r="J383" s="7" t="inlineStr">
        <is>
          <t>Entertainment</t>
        </is>
      </c>
      <c r="K383" s="9" t="n">
        <v>6562.52</v>
      </c>
      <c r="L383" s="9" t="n">
        <v>9106.450000000001</v>
      </c>
      <c r="M383" s="7" t="inlineStr">
        <is>
          <t>ATM</t>
        </is>
      </c>
      <c r="N383" s="7" t="inlineStr">
        <is>
          <t>N</t>
        </is>
      </c>
      <c r="O383" s="7">
        <f>TEXT(D383, "dddd")</f>
        <v/>
      </c>
      <c r="P383" s="7">
        <f>"Q"&amp;ROUNDUP(MONTH(D383)/3, 0)</f>
        <v/>
      </c>
    </row>
    <row r="384">
      <c r="A384" s="4" t="inlineStr">
        <is>
          <t>TXN100387</t>
        </is>
      </c>
      <c r="B384" s="4" t="inlineStr">
        <is>
          <t>CUST0387</t>
        </is>
      </c>
      <c r="C384" s="4" t="inlineStr">
        <is>
          <t>2026-06-01 14:35:00</t>
        </is>
      </c>
      <c r="D384" s="4">
        <f>TEXT(LEFT(C384,10),"YYYY-MM-DD")</f>
        <v/>
      </c>
      <c r="E384" s="5">
        <f>HOUR(C384)</f>
        <v/>
      </c>
      <c r="F384" s="4" t="inlineStr">
        <is>
          <t>Female</t>
        </is>
      </c>
      <c r="G384" s="5" t="n">
        <v>26</v>
      </c>
      <c r="H384" s="4">
        <f>IF(G384&gt;=60, "Boomer", IF(G384&gt;=45, "Gen X", IF(G384&gt;=25, "Millennial", "Gen Z")))</f>
        <v/>
      </c>
      <c r="I384" s="4" t="inlineStr">
        <is>
          <t>Checking</t>
        </is>
      </c>
      <c r="J384" s="4" t="inlineStr">
        <is>
          <t>Groceries</t>
        </is>
      </c>
      <c r="K384" s="6" t="n">
        <v>6433.14</v>
      </c>
      <c r="L384" s="6" t="n">
        <v>7419.76</v>
      </c>
      <c r="M384" s="4" t="inlineStr">
        <is>
          <t>Mobile App</t>
        </is>
      </c>
      <c r="N384" s="4" t="inlineStr">
        <is>
          <t>N</t>
        </is>
      </c>
      <c r="O384" s="4">
        <f>TEXT(D384, "dddd")</f>
        <v/>
      </c>
      <c r="P384" s="4">
        <f>"Q"&amp;ROUNDUP(MONTH(D384)/3, 0)</f>
        <v/>
      </c>
    </row>
    <row r="385">
      <c r="A385" s="7" t="inlineStr">
        <is>
          <t>TXN100388</t>
        </is>
      </c>
      <c r="B385" s="7" t="inlineStr">
        <is>
          <t>CUST0388</t>
        </is>
      </c>
      <c r="C385" s="7" t="inlineStr">
        <is>
          <t>2026-06-01 01:53:00</t>
        </is>
      </c>
      <c r="D385" s="7">
        <f>TEXT(LEFT(C385,10),"YYYY-MM-DD")</f>
        <v/>
      </c>
      <c r="E385" s="8">
        <f>HOUR(C385)</f>
        <v/>
      </c>
      <c r="F385" s="7" t="inlineStr">
        <is>
          <t>Female</t>
        </is>
      </c>
      <c r="G385" s="8" t="n">
        <v>28</v>
      </c>
      <c r="H385" s="7">
        <f>IF(G385&gt;=60, "Boomer", IF(G385&gt;=45, "Gen X", IF(G385&gt;=25, "Millennial", "Gen Z")))</f>
        <v/>
      </c>
      <c r="I385" s="7" t="inlineStr">
        <is>
          <t>Savings</t>
        </is>
      </c>
      <c r="J385" s="7" t="inlineStr">
        <is>
          <t>Utilities</t>
        </is>
      </c>
      <c r="K385" s="9" t="n">
        <v>2984.2</v>
      </c>
      <c r="L385" s="9" t="n">
        <v>31699.73</v>
      </c>
      <c r="M385" s="7" t="inlineStr">
        <is>
          <t>Mobile App</t>
        </is>
      </c>
      <c r="N385" s="7" t="inlineStr">
        <is>
          <t>N</t>
        </is>
      </c>
      <c r="O385" s="7">
        <f>TEXT(D385, "dddd")</f>
        <v/>
      </c>
      <c r="P385" s="7">
        <f>"Q"&amp;ROUNDUP(MONTH(D385)/3, 0)</f>
        <v/>
      </c>
    </row>
    <row r="386">
      <c r="A386" s="4" t="inlineStr">
        <is>
          <t>TXN100389</t>
        </is>
      </c>
      <c r="B386" s="4" t="inlineStr">
        <is>
          <t>CUST0389</t>
        </is>
      </c>
      <c r="C386" s="4" t="inlineStr">
        <is>
          <t>2026-06-01 18:37:00</t>
        </is>
      </c>
      <c r="D386" s="4">
        <f>TEXT(LEFT(C386,10),"YYYY-MM-DD")</f>
        <v/>
      </c>
      <c r="E386" s="5">
        <f>HOUR(C386)</f>
        <v/>
      </c>
      <c r="F386" s="4" t="inlineStr">
        <is>
          <t>Female</t>
        </is>
      </c>
      <c r="G386" s="5" t="n">
        <v>72</v>
      </c>
      <c r="H386" s="4">
        <f>IF(G386&gt;=60, "Boomer", IF(G386&gt;=45, "Gen X", IF(G386&gt;=25, "Millennial", "Gen Z")))</f>
        <v/>
      </c>
      <c r="I386" s="4" t="inlineStr">
        <is>
          <t>Savings</t>
        </is>
      </c>
      <c r="J386" s="4" t="inlineStr">
        <is>
          <t>Groceries</t>
        </is>
      </c>
      <c r="K386" s="6" t="n">
        <v>7977.32</v>
      </c>
      <c r="L386" s="6" t="n">
        <v>10288.64</v>
      </c>
      <c r="M386" s="4" t="inlineStr">
        <is>
          <t>ATM</t>
        </is>
      </c>
      <c r="N386" s="4" t="inlineStr">
        <is>
          <t>Y</t>
        </is>
      </c>
      <c r="O386" s="4">
        <f>TEXT(D386, "dddd")</f>
        <v/>
      </c>
      <c r="P386" s="4">
        <f>"Q"&amp;ROUNDUP(MONTH(D386)/3, 0)</f>
        <v/>
      </c>
    </row>
    <row r="387">
      <c r="A387" s="7" t="inlineStr">
        <is>
          <t>TXN100390</t>
        </is>
      </c>
      <c r="B387" s="7" t="inlineStr">
        <is>
          <t>CUST0390</t>
        </is>
      </c>
      <c r="C387" s="7" t="inlineStr">
        <is>
          <t>2026-06-01 02:57:00</t>
        </is>
      </c>
      <c r="D387" s="7">
        <f>TEXT(LEFT(C387,10),"YYYY-MM-DD")</f>
        <v/>
      </c>
      <c r="E387" s="8">
        <f>HOUR(C387)</f>
        <v/>
      </c>
      <c r="F387" s="7" t="inlineStr">
        <is>
          <t>Female</t>
        </is>
      </c>
      <c r="G387" s="8" t="n">
        <v>27</v>
      </c>
      <c r="H387" s="7">
        <f>IF(G387&gt;=60, "Boomer", IF(G387&gt;=45, "Gen X", IF(G387&gt;=25, "Millennial", "Gen Z")))</f>
        <v/>
      </c>
      <c r="I387" s="7" t="inlineStr">
        <is>
          <t>Savings</t>
        </is>
      </c>
      <c r="J387" s="7" t="inlineStr">
        <is>
          <t>Utilities</t>
        </is>
      </c>
      <c r="K387" s="9" t="n">
        <v>414.6</v>
      </c>
      <c r="L387" s="9" t="n">
        <v>46244.52</v>
      </c>
      <c r="M387" s="7" t="inlineStr">
        <is>
          <t>ATM</t>
        </is>
      </c>
      <c r="N387" s="7" t="inlineStr">
        <is>
          <t>N</t>
        </is>
      </c>
      <c r="O387" s="7">
        <f>TEXT(D387, "dddd")</f>
        <v/>
      </c>
      <c r="P387" s="7">
        <f>"Q"&amp;ROUNDUP(MONTH(D387)/3, 0)</f>
        <v/>
      </c>
    </row>
    <row r="388">
      <c r="A388" s="4" t="inlineStr">
        <is>
          <t>TXN100391</t>
        </is>
      </c>
      <c r="B388" s="4" t="inlineStr">
        <is>
          <t>CUST0391</t>
        </is>
      </c>
      <c r="C388" s="4" t="inlineStr">
        <is>
          <t>2026-06-01 23:25:00</t>
        </is>
      </c>
      <c r="D388" s="4">
        <f>TEXT(LEFT(C388,10),"YYYY-MM-DD")</f>
        <v/>
      </c>
      <c r="E388" s="5">
        <f>HOUR(C388)</f>
        <v/>
      </c>
      <c r="F388" s="4" t="inlineStr">
        <is>
          <t>Unspecified</t>
        </is>
      </c>
      <c r="G388" s="5" t="n">
        <v>21</v>
      </c>
      <c r="H388" s="4">
        <f>IF(G388&gt;=60, "Boomer", IF(G388&gt;=45, "Gen X", IF(G388&gt;=25, "Millennial", "Gen Z")))</f>
        <v/>
      </c>
      <c r="I388" s="4" t="inlineStr">
        <is>
          <t>Checking</t>
        </is>
      </c>
      <c r="J388" s="4" t="inlineStr">
        <is>
          <t>Utilities</t>
        </is>
      </c>
      <c r="K388" s="6" t="n">
        <v>1390.73</v>
      </c>
      <c r="L388" s="6" t="n">
        <v>11128.45</v>
      </c>
      <c r="M388" s="4" t="inlineStr">
        <is>
          <t>Online Banking</t>
        </is>
      </c>
      <c r="N388" s="4" t="inlineStr">
        <is>
          <t>N</t>
        </is>
      </c>
      <c r="O388" s="4">
        <f>TEXT(D388, "dddd")</f>
        <v/>
      </c>
      <c r="P388" s="4">
        <f>"Q"&amp;ROUNDUP(MONTH(D388)/3, 0)</f>
        <v/>
      </c>
    </row>
    <row r="389">
      <c r="A389" s="7" t="inlineStr">
        <is>
          <t>TXN100392</t>
        </is>
      </c>
      <c r="B389" s="7" t="inlineStr">
        <is>
          <t>CUST0392</t>
        </is>
      </c>
      <c r="C389" s="7" t="inlineStr">
        <is>
          <t>2026-06-01 08:17:00</t>
        </is>
      </c>
      <c r="D389" s="7">
        <f>TEXT(LEFT(C389,10),"YYYY-MM-DD")</f>
        <v/>
      </c>
      <c r="E389" s="8">
        <f>HOUR(C389)</f>
        <v/>
      </c>
      <c r="F389" s="7" t="inlineStr">
        <is>
          <t>Unspecified</t>
        </is>
      </c>
      <c r="G389" s="8" t="n">
        <v>29</v>
      </c>
      <c r="H389" s="7">
        <f>IF(G389&gt;=60, "Boomer", IF(G389&gt;=45, "Gen X", IF(G389&gt;=25, "Millennial", "Gen Z")))</f>
        <v/>
      </c>
      <c r="I389" s="7" t="inlineStr">
        <is>
          <t>Savings</t>
        </is>
      </c>
      <c r="J389" s="7" t="inlineStr">
        <is>
          <t>Travel</t>
        </is>
      </c>
      <c r="K389" s="9" t="n">
        <v>4957.22</v>
      </c>
      <c r="L389" s="9" t="n">
        <v>12666.35</v>
      </c>
      <c r="M389" s="7" t="inlineStr">
        <is>
          <t>Branch Office</t>
        </is>
      </c>
      <c r="N389" s="7" t="inlineStr">
        <is>
          <t>N</t>
        </is>
      </c>
      <c r="O389" s="7">
        <f>TEXT(D389, "dddd")</f>
        <v/>
      </c>
      <c r="P389" s="7">
        <f>"Q"&amp;ROUNDUP(MONTH(D389)/3, 0)</f>
        <v/>
      </c>
    </row>
    <row r="390">
      <c r="A390" s="4" t="inlineStr">
        <is>
          <t>TXN100393</t>
        </is>
      </c>
      <c r="B390" s="4" t="inlineStr">
        <is>
          <t>CUST0393</t>
        </is>
      </c>
      <c r="C390" s="4" t="inlineStr">
        <is>
          <t>2026-06-01 15:26:00</t>
        </is>
      </c>
      <c r="D390" s="4">
        <f>TEXT(LEFT(C390,10),"YYYY-MM-DD")</f>
        <v/>
      </c>
      <c r="E390" s="5">
        <f>HOUR(C390)</f>
        <v/>
      </c>
      <c r="F390" s="4" t="inlineStr">
        <is>
          <t>Unspecified</t>
        </is>
      </c>
      <c r="G390" s="5" t="n">
        <v>23</v>
      </c>
      <c r="H390" s="4">
        <f>IF(G390&gt;=60, "Boomer", IF(G390&gt;=45, "Gen X", IF(G390&gt;=25, "Millennial", "Gen Z")))</f>
        <v/>
      </c>
      <c r="I390" s="4" t="inlineStr">
        <is>
          <t>Savings</t>
        </is>
      </c>
      <c r="J390" s="4" t="inlineStr">
        <is>
          <t>Entertainment</t>
        </is>
      </c>
      <c r="K390" s="6" t="n">
        <v>3070.29</v>
      </c>
      <c r="L390" s="6" t="n">
        <v>21252.12</v>
      </c>
      <c r="M390" s="4" t="inlineStr">
        <is>
          <t>Online Banking</t>
        </is>
      </c>
      <c r="N390" s="4" t="inlineStr">
        <is>
          <t>N</t>
        </is>
      </c>
      <c r="O390" s="4">
        <f>TEXT(D390, "dddd")</f>
        <v/>
      </c>
      <c r="P390" s="4">
        <f>"Q"&amp;ROUNDUP(MONTH(D390)/3, 0)</f>
        <v/>
      </c>
    </row>
    <row r="391">
      <c r="A391" s="7" t="inlineStr">
        <is>
          <t>TXN100394</t>
        </is>
      </c>
      <c r="B391" s="7" t="inlineStr">
        <is>
          <t>CUST0394</t>
        </is>
      </c>
      <c r="C391" s="7" t="inlineStr">
        <is>
          <t>2026-06-01 20:51:00</t>
        </is>
      </c>
      <c r="D391" s="7">
        <f>TEXT(LEFT(C391,10),"YYYY-MM-DD")</f>
        <v/>
      </c>
      <c r="E391" s="8">
        <f>HOUR(C391)</f>
        <v/>
      </c>
      <c r="F391" s="7" t="inlineStr">
        <is>
          <t>Male</t>
        </is>
      </c>
      <c r="G391" s="8" t="n">
        <v>44</v>
      </c>
      <c r="H391" s="7">
        <f>IF(G391&gt;=60, "Boomer", IF(G391&gt;=45, "Gen X", IF(G391&gt;=25, "Millennial", "Gen Z")))</f>
        <v/>
      </c>
      <c r="I391" s="7" t="inlineStr">
        <is>
          <t>Investment</t>
        </is>
      </c>
      <c r="J391" s="7" t="inlineStr">
        <is>
          <t>Entertainment</t>
        </is>
      </c>
      <c r="K391" s="9" t="n">
        <v>3842.68</v>
      </c>
      <c r="L391" s="9" t="n">
        <v>39181.04</v>
      </c>
      <c r="M391" s="7" t="inlineStr">
        <is>
          <t>Branch Office</t>
        </is>
      </c>
      <c r="N391" s="7" t="inlineStr">
        <is>
          <t>N</t>
        </is>
      </c>
      <c r="O391" s="7">
        <f>TEXT(D391, "dddd")</f>
        <v/>
      </c>
      <c r="P391" s="7">
        <f>"Q"&amp;ROUNDUP(MONTH(D391)/3, 0)</f>
        <v/>
      </c>
    </row>
    <row r="392">
      <c r="A392" s="4" t="inlineStr">
        <is>
          <t>TXN100395</t>
        </is>
      </c>
      <c r="B392" s="4" t="inlineStr">
        <is>
          <t>CUST0395</t>
        </is>
      </c>
      <c r="C392" s="4" t="inlineStr">
        <is>
          <t>2026-06-01 18:32:00</t>
        </is>
      </c>
      <c r="D392" s="4">
        <f>TEXT(LEFT(C392,10),"YYYY-MM-DD")</f>
        <v/>
      </c>
      <c r="E392" s="5">
        <f>HOUR(C392)</f>
        <v/>
      </c>
      <c r="F392" s="4" t="inlineStr">
        <is>
          <t>Female</t>
        </is>
      </c>
      <c r="G392" s="5" t="n">
        <v>44</v>
      </c>
      <c r="H392" s="4">
        <f>IF(G392&gt;=60, "Boomer", IF(G392&gt;=45, "Gen X", IF(G392&gt;=25, "Millennial", "Gen Z")))</f>
        <v/>
      </c>
      <c r="I392" s="4" t="inlineStr">
        <is>
          <t>Checking</t>
        </is>
      </c>
      <c r="J392" s="4" t="inlineStr">
        <is>
          <t>Groceries</t>
        </is>
      </c>
      <c r="K392" s="6" t="n">
        <v>218.24</v>
      </c>
      <c r="L392" s="6" t="n">
        <v>30057.26</v>
      </c>
      <c r="M392" s="4" t="inlineStr">
        <is>
          <t>Mobile App</t>
        </is>
      </c>
      <c r="N392" s="4" t="inlineStr">
        <is>
          <t>N</t>
        </is>
      </c>
      <c r="O392" s="4">
        <f>TEXT(D392, "dddd")</f>
        <v/>
      </c>
      <c r="P392" s="4">
        <f>"Q"&amp;ROUNDUP(MONTH(D392)/3, 0)</f>
        <v/>
      </c>
    </row>
    <row r="393">
      <c r="A393" s="7" t="inlineStr">
        <is>
          <t>TXN100396</t>
        </is>
      </c>
      <c r="B393" s="7" t="inlineStr">
        <is>
          <t>CUST0396</t>
        </is>
      </c>
      <c r="C393" s="7" t="inlineStr">
        <is>
          <t>2026-06-01 08:03:00</t>
        </is>
      </c>
      <c r="D393" s="7">
        <f>TEXT(LEFT(C393,10),"YYYY-MM-DD")</f>
        <v/>
      </c>
      <c r="E393" s="8">
        <f>HOUR(C393)</f>
        <v/>
      </c>
      <c r="F393" s="7" t="inlineStr">
        <is>
          <t>Unspecified</t>
        </is>
      </c>
      <c r="G393" s="8" t="n">
        <v>53</v>
      </c>
      <c r="H393" s="7">
        <f>IF(G393&gt;=60, "Boomer", IF(G393&gt;=45, "Gen X", IF(G393&gt;=25, "Millennial", "Gen Z")))</f>
        <v/>
      </c>
      <c r="I393" s="7" t="inlineStr">
        <is>
          <t>Checking</t>
        </is>
      </c>
      <c r="J393" s="7" t="inlineStr">
        <is>
          <t>Travel</t>
        </is>
      </c>
      <c r="K393" s="9" t="n">
        <v>7996.85</v>
      </c>
      <c r="L393" s="9" t="n">
        <v>48712</v>
      </c>
      <c r="M393" s="7" t="inlineStr">
        <is>
          <t>Mobile App</t>
        </is>
      </c>
      <c r="N393" s="7" t="inlineStr">
        <is>
          <t>N</t>
        </is>
      </c>
      <c r="O393" s="7">
        <f>TEXT(D393, "dddd")</f>
        <v/>
      </c>
      <c r="P393" s="7">
        <f>"Q"&amp;ROUNDUP(MONTH(D393)/3, 0)</f>
        <v/>
      </c>
    </row>
    <row r="394">
      <c r="A394" s="4" t="inlineStr">
        <is>
          <t>TXN100397</t>
        </is>
      </c>
      <c r="B394" s="4" t="inlineStr">
        <is>
          <t>CUST0397</t>
        </is>
      </c>
      <c r="C394" s="4" t="inlineStr">
        <is>
          <t>2026-06-01 07:17:00</t>
        </is>
      </c>
      <c r="D394" s="4">
        <f>TEXT(LEFT(C394,10),"YYYY-MM-DD")</f>
        <v/>
      </c>
      <c r="E394" s="5">
        <f>HOUR(C394)</f>
        <v/>
      </c>
      <c r="F394" s="4" t="inlineStr">
        <is>
          <t>Male</t>
        </is>
      </c>
      <c r="G394" s="5" t="n">
        <v>68</v>
      </c>
      <c r="H394" s="4">
        <f>IF(G394&gt;=60, "Boomer", IF(G394&gt;=45, "Gen X", IF(G394&gt;=25, "Millennial", "Gen Z")))</f>
        <v/>
      </c>
      <c r="I394" s="4" t="inlineStr">
        <is>
          <t>Savings</t>
        </is>
      </c>
      <c r="J394" s="4" t="inlineStr">
        <is>
          <t>Travel</t>
        </is>
      </c>
      <c r="K394" s="6" t="n">
        <v>6773.58</v>
      </c>
      <c r="L394" s="6" t="n">
        <v>39970.84</v>
      </c>
      <c r="M394" s="4" t="inlineStr">
        <is>
          <t>Branch Office</t>
        </is>
      </c>
      <c r="N394" s="4" t="inlineStr">
        <is>
          <t>N</t>
        </is>
      </c>
      <c r="O394" s="4">
        <f>TEXT(D394, "dddd")</f>
        <v/>
      </c>
      <c r="P394" s="4">
        <f>"Q"&amp;ROUNDUP(MONTH(D394)/3, 0)</f>
        <v/>
      </c>
    </row>
    <row r="395">
      <c r="A395" s="7" t="inlineStr">
        <is>
          <t>TXN100398</t>
        </is>
      </c>
      <c r="B395" s="7" t="inlineStr">
        <is>
          <t>CUST0398</t>
        </is>
      </c>
      <c r="C395" s="7" t="inlineStr">
        <is>
          <t>2026-06-01 05:11:00</t>
        </is>
      </c>
      <c r="D395" s="7">
        <f>TEXT(LEFT(C395,10),"YYYY-MM-DD")</f>
        <v/>
      </c>
      <c r="E395" s="8">
        <f>HOUR(C395)</f>
        <v/>
      </c>
      <c r="F395" s="7" t="inlineStr">
        <is>
          <t>Female</t>
        </is>
      </c>
      <c r="G395" s="8" t="n">
        <v>57</v>
      </c>
      <c r="H395" s="7">
        <f>IF(G395&gt;=60, "Boomer", IF(G395&gt;=45, "Gen X", IF(G395&gt;=25, "Millennial", "Gen Z")))</f>
        <v/>
      </c>
      <c r="I395" s="7" t="inlineStr">
        <is>
          <t>Checking</t>
        </is>
      </c>
      <c r="J395" s="7" t="inlineStr">
        <is>
          <t>Entertainment</t>
        </is>
      </c>
      <c r="K395" s="9" t="n">
        <v>7312.7</v>
      </c>
      <c r="L395" s="9" t="n">
        <v>1896.23</v>
      </c>
      <c r="M395" s="7" t="inlineStr">
        <is>
          <t>Branch Office</t>
        </is>
      </c>
      <c r="N395" s="7" t="inlineStr">
        <is>
          <t>Y</t>
        </is>
      </c>
      <c r="O395" s="7">
        <f>TEXT(D395, "dddd")</f>
        <v/>
      </c>
      <c r="P395" s="7">
        <f>"Q"&amp;ROUNDUP(MONTH(D395)/3, 0)</f>
        <v/>
      </c>
    </row>
    <row r="396">
      <c r="A396" s="4" t="inlineStr">
        <is>
          <t>TXN100399</t>
        </is>
      </c>
      <c r="B396" s="4" t="inlineStr">
        <is>
          <t>CUST0399</t>
        </is>
      </c>
      <c r="C396" s="4" t="inlineStr">
        <is>
          <t>2026-06-01 18:09:00</t>
        </is>
      </c>
      <c r="D396" s="4">
        <f>TEXT(LEFT(C396,10),"YYYY-MM-DD")</f>
        <v/>
      </c>
      <c r="E396" s="5">
        <f>HOUR(C396)</f>
        <v/>
      </c>
      <c r="F396" s="4" t="inlineStr">
        <is>
          <t>Female</t>
        </is>
      </c>
      <c r="G396" s="5" t="n">
        <v>73</v>
      </c>
      <c r="H396" s="4">
        <f>IF(G396&gt;=60, "Boomer", IF(G396&gt;=45, "Gen X", IF(G396&gt;=25, "Millennial", "Gen Z")))</f>
        <v/>
      </c>
      <c r="I396" s="4" t="inlineStr">
        <is>
          <t>Checking</t>
        </is>
      </c>
      <c r="J396" s="4" t="inlineStr">
        <is>
          <t>Travel</t>
        </is>
      </c>
      <c r="K396" s="6" t="n">
        <v>2479.33</v>
      </c>
      <c r="L396" s="6" t="n">
        <v>24776.6</v>
      </c>
      <c r="M396" s="4" t="inlineStr">
        <is>
          <t>Mobile App</t>
        </is>
      </c>
      <c r="N396" s="4" t="inlineStr">
        <is>
          <t>N</t>
        </is>
      </c>
      <c r="O396" s="4">
        <f>TEXT(D396, "dddd")</f>
        <v/>
      </c>
      <c r="P396" s="4">
        <f>"Q"&amp;ROUNDUP(MONTH(D396)/3, 0)</f>
        <v/>
      </c>
    </row>
    <row r="397">
      <c r="A397" s="7" t="inlineStr">
        <is>
          <t>TXN100400</t>
        </is>
      </c>
      <c r="B397" s="7" t="inlineStr">
        <is>
          <t>CUST0400</t>
        </is>
      </c>
      <c r="C397" s="7" t="inlineStr">
        <is>
          <t>2026-06-01 01:14:00</t>
        </is>
      </c>
      <c r="D397" s="7">
        <f>TEXT(LEFT(C397,10),"YYYY-MM-DD")</f>
        <v/>
      </c>
      <c r="E397" s="8">
        <f>HOUR(C397)</f>
        <v/>
      </c>
      <c r="F397" s="7" t="inlineStr">
        <is>
          <t>Female</t>
        </is>
      </c>
      <c r="G397" s="8" t="n">
        <v>21</v>
      </c>
      <c r="H397" s="7">
        <f>IF(G397&gt;=60, "Boomer", IF(G397&gt;=45, "Gen X", IF(G397&gt;=25, "Millennial", "Gen Z")))</f>
        <v/>
      </c>
      <c r="I397" s="7" t="inlineStr">
        <is>
          <t>Investment</t>
        </is>
      </c>
      <c r="J397" s="7" t="inlineStr">
        <is>
          <t>Utilities</t>
        </is>
      </c>
      <c r="K397" s="9" t="n">
        <v>15.46</v>
      </c>
      <c r="L397" s="9" t="n">
        <v>45935.86</v>
      </c>
      <c r="M397" s="7" t="inlineStr">
        <is>
          <t>Online Banking</t>
        </is>
      </c>
      <c r="N397" s="7" t="inlineStr">
        <is>
          <t>N</t>
        </is>
      </c>
      <c r="O397" s="7">
        <f>TEXT(D397, "dddd")</f>
        <v/>
      </c>
      <c r="P397" s="7">
        <f>"Q"&amp;ROUNDUP(MONTH(D397)/3, 0)</f>
        <v/>
      </c>
    </row>
    <row r="398">
      <c r="A398" s="4" t="inlineStr">
        <is>
          <t>TXN100401</t>
        </is>
      </c>
      <c r="B398" s="4" t="inlineStr">
        <is>
          <t>CUST0401</t>
        </is>
      </c>
      <c r="C398" s="4" t="inlineStr">
        <is>
          <t>2026-06-01 04:21:00</t>
        </is>
      </c>
      <c r="D398" s="4">
        <f>TEXT(LEFT(C398,10),"YYYY-MM-DD")</f>
        <v/>
      </c>
      <c r="E398" s="5">
        <f>HOUR(C398)</f>
        <v/>
      </c>
      <c r="F398" s="4" t="inlineStr">
        <is>
          <t>Male</t>
        </is>
      </c>
      <c r="G398" s="5" t="n">
        <v>71</v>
      </c>
      <c r="H398" s="4">
        <f>IF(G398&gt;=60, "Boomer", IF(G398&gt;=45, "Gen X", IF(G398&gt;=25, "Millennial", "Gen Z")))</f>
        <v/>
      </c>
      <c r="I398" s="4" t="inlineStr">
        <is>
          <t>Checking</t>
        </is>
      </c>
      <c r="J398" s="4" t="inlineStr">
        <is>
          <t>Groceries</t>
        </is>
      </c>
      <c r="K398" s="6" t="n">
        <v>185.08</v>
      </c>
      <c r="L398" s="6" t="n">
        <v>29537.15</v>
      </c>
      <c r="M398" s="4" t="inlineStr">
        <is>
          <t>Online Banking</t>
        </is>
      </c>
      <c r="N398" s="4" t="inlineStr">
        <is>
          <t>N</t>
        </is>
      </c>
      <c r="O398" s="4">
        <f>TEXT(D398, "dddd")</f>
        <v/>
      </c>
      <c r="P398" s="4">
        <f>"Q"&amp;ROUNDUP(MONTH(D398)/3, 0)</f>
        <v/>
      </c>
    </row>
    <row r="399">
      <c r="A399" s="7" t="inlineStr">
        <is>
          <t>TXN100402</t>
        </is>
      </c>
      <c r="B399" s="7" t="inlineStr">
        <is>
          <t>CUST0402</t>
        </is>
      </c>
      <c r="C399" s="7" t="inlineStr">
        <is>
          <t>2026-06-01 03:54:00</t>
        </is>
      </c>
      <c r="D399" s="7">
        <f>TEXT(LEFT(C399,10),"YYYY-MM-DD")</f>
        <v/>
      </c>
      <c r="E399" s="8">
        <f>HOUR(C399)</f>
        <v/>
      </c>
      <c r="F399" s="7" t="inlineStr">
        <is>
          <t>Female</t>
        </is>
      </c>
      <c r="G399" s="8" t="n">
        <v>24</v>
      </c>
      <c r="H399" s="7">
        <f>IF(G399&gt;=60, "Boomer", IF(G399&gt;=45, "Gen X", IF(G399&gt;=25, "Millennial", "Gen Z")))</f>
        <v/>
      </c>
      <c r="I399" s="7" t="inlineStr">
        <is>
          <t>Checking</t>
        </is>
      </c>
      <c r="J399" s="7" t="inlineStr">
        <is>
          <t>Utilities</t>
        </is>
      </c>
      <c r="K399" s="9" t="n">
        <v>4692.27</v>
      </c>
      <c r="L399" s="9" t="n">
        <v>17159.77</v>
      </c>
      <c r="M399" s="7" t="inlineStr">
        <is>
          <t>Branch Office</t>
        </is>
      </c>
      <c r="N399" s="7" t="inlineStr">
        <is>
          <t>N</t>
        </is>
      </c>
      <c r="O399" s="7">
        <f>TEXT(D399, "dddd")</f>
        <v/>
      </c>
      <c r="P399" s="7">
        <f>"Q"&amp;ROUNDUP(MONTH(D399)/3, 0)</f>
        <v/>
      </c>
    </row>
    <row r="400">
      <c r="A400" s="4" t="inlineStr">
        <is>
          <t>TXN100403</t>
        </is>
      </c>
      <c r="B400" s="4" t="inlineStr">
        <is>
          <t>CUST0403</t>
        </is>
      </c>
      <c r="C400" s="4" t="inlineStr">
        <is>
          <t>2026-06-01 04:10:00</t>
        </is>
      </c>
      <c r="D400" s="4">
        <f>TEXT(LEFT(C400,10),"YYYY-MM-DD")</f>
        <v/>
      </c>
      <c r="E400" s="5">
        <f>HOUR(C400)</f>
        <v/>
      </c>
      <c r="F400" s="4" t="inlineStr">
        <is>
          <t>Unspecified</t>
        </is>
      </c>
      <c r="G400" s="5" t="n">
        <v>70</v>
      </c>
      <c r="H400" s="4">
        <f>IF(G400&gt;=60, "Boomer", IF(G400&gt;=45, "Gen X", IF(G400&gt;=25, "Millennial", "Gen Z")))</f>
        <v/>
      </c>
      <c r="I400" s="4" t="inlineStr">
        <is>
          <t>Investment</t>
        </is>
      </c>
      <c r="J400" s="4" t="inlineStr">
        <is>
          <t>Utilities</t>
        </is>
      </c>
      <c r="K400" s="6" t="n">
        <v>5196.95</v>
      </c>
      <c r="L400" s="6" t="n">
        <v>9123.030000000001</v>
      </c>
      <c r="M400" s="4" t="inlineStr">
        <is>
          <t>Branch Office</t>
        </is>
      </c>
      <c r="N400" s="4" t="inlineStr">
        <is>
          <t>N</t>
        </is>
      </c>
      <c r="O400" s="4">
        <f>TEXT(D400, "dddd")</f>
        <v/>
      </c>
      <c r="P400" s="4">
        <f>"Q"&amp;ROUNDUP(MONTH(D400)/3, 0)</f>
        <v/>
      </c>
    </row>
    <row r="401">
      <c r="A401" s="7" t="inlineStr">
        <is>
          <t>TXN100404</t>
        </is>
      </c>
      <c r="B401" s="7" t="inlineStr">
        <is>
          <t>CUST0404</t>
        </is>
      </c>
      <c r="C401" s="7" t="inlineStr">
        <is>
          <t>2026-06-01 07:42:00</t>
        </is>
      </c>
      <c r="D401" s="7">
        <f>TEXT(LEFT(C401,10),"YYYY-MM-DD")</f>
        <v/>
      </c>
      <c r="E401" s="8">
        <f>HOUR(C401)</f>
        <v/>
      </c>
      <c r="F401" s="7" t="inlineStr">
        <is>
          <t>Male</t>
        </is>
      </c>
      <c r="G401" s="8" t="n">
        <v>44</v>
      </c>
      <c r="H401" s="7">
        <f>IF(G401&gt;=60, "Boomer", IF(G401&gt;=45, "Gen X", IF(G401&gt;=25, "Millennial", "Gen Z")))</f>
        <v/>
      </c>
      <c r="I401" s="7" t="inlineStr">
        <is>
          <t>Checking</t>
        </is>
      </c>
      <c r="J401" s="7" t="inlineStr">
        <is>
          <t>Entertainment</t>
        </is>
      </c>
      <c r="K401" s="9" t="n">
        <v>1027.51</v>
      </c>
      <c r="L401" s="9" t="n">
        <v>36577.13</v>
      </c>
      <c r="M401" s="7" t="inlineStr">
        <is>
          <t>ATM</t>
        </is>
      </c>
      <c r="N401" s="7" t="inlineStr">
        <is>
          <t>N</t>
        </is>
      </c>
      <c r="O401" s="7">
        <f>TEXT(D401, "dddd")</f>
        <v/>
      </c>
      <c r="P401" s="7">
        <f>"Q"&amp;ROUNDUP(MONTH(D401)/3, 0)</f>
        <v/>
      </c>
    </row>
    <row r="402">
      <c r="A402" s="4" t="inlineStr">
        <is>
          <t>TXN100405</t>
        </is>
      </c>
      <c r="B402" s="4" t="inlineStr">
        <is>
          <t>CUST0405</t>
        </is>
      </c>
      <c r="C402" s="4" t="inlineStr">
        <is>
          <t>2026-06-01 18:02:00</t>
        </is>
      </c>
      <c r="D402" s="4">
        <f>TEXT(LEFT(C402,10),"YYYY-MM-DD")</f>
        <v/>
      </c>
      <c r="E402" s="5">
        <f>HOUR(C402)</f>
        <v/>
      </c>
      <c r="F402" s="4" t="inlineStr">
        <is>
          <t>Male</t>
        </is>
      </c>
      <c r="G402" s="5" t="n">
        <v>58</v>
      </c>
      <c r="H402" s="4">
        <f>IF(G402&gt;=60, "Boomer", IF(G402&gt;=45, "Gen X", IF(G402&gt;=25, "Millennial", "Gen Z")))</f>
        <v/>
      </c>
      <c r="I402" s="4" t="inlineStr">
        <is>
          <t>Checking</t>
        </is>
      </c>
      <c r="J402" s="4" t="inlineStr">
        <is>
          <t>Travel</t>
        </is>
      </c>
      <c r="K402" s="6" t="n">
        <v>1774.95</v>
      </c>
      <c r="L402" s="6" t="n">
        <v>28494.74</v>
      </c>
      <c r="M402" s="4" t="inlineStr">
        <is>
          <t>ATM</t>
        </is>
      </c>
      <c r="N402" s="4" t="inlineStr">
        <is>
          <t>N</t>
        </is>
      </c>
      <c r="O402" s="4">
        <f>TEXT(D402, "dddd")</f>
        <v/>
      </c>
      <c r="P402" s="4">
        <f>"Q"&amp;ROUNDUP(MONTH(D402)/3, 0)</f>
        <v/>
      </c>
    </row>
    <row r="403">
      <c r="A403" s="7" t="inlineStr">
        <is>
          <t>TXN100406</t>
        </is>
      </c>
      <c r="B403" s="7" t="inlineStr">
        <is>
          <t>CUST0406</t>
        </is>
      </c>
      <c r="C403" s="7" t="inlineStr">
        <is>
          <t>2026-06-01 04:21:00</t>
        </is>
      </c>
      <c r="D403" s="7">
        <f>TEXT(LEFT(C403,10),"YYYY-MM-DD")</f>
        <v/>
      </c>
      <c r="E403" s="8">
        <f>HOUR(C403)</f>
        <v/>
      </c>
      <c r="F403" s="7" t="inlineStr">
        <is>
          <t>Male</t>
        </is>
      </c>
      <c r="G403" s="8" t="n">
        <v>35</v>
      </c>
      <c r="H403" s="7">
        <f>IF(G403&gt;=60, "Boomer", IF(G403&gt;=45, "Gen X", IF(G403&gt;=25, "Millennial", "Gen Z")))</f>
        <v/>
      </c>
      <c r="I403" s="7" t="inlineStr">
        <is>
          <t>Checking</t>
        </is>
      </c>
      <c r="J403" s="7" t="inlineStr">
        <is>
          <t>Entertainment</t>
        </is>
      </c>
      <c r="K403" s="9" t="n">
        <v>1351.42</v>
      </c>
      <c r="L403" s="9" t="n">
        <v>44323.35</v>
      </c>
      <c r="M403" s="7" t="inlineStr">
        <is>
          <t>Mobile App</t>
        </is>
      </c>
      <c r="N403" s="7" t="inlineStr">
        <is>
          <t>N</t>
        </is>
      </c>
      <c r="O403" s="7">
        <f>TEXT(D403, "dddd")</f>
        <v/>
      </c>
      <c r="P403" s="7">
        <f>"Q"&amp;ROUNDUP(MONTH(D403)/3, 0)</f>
        <v/>
      </c>
    </row>
    <row r="404">
      <c r="A404" s="4" t="inlineStr">
        <is>
          <t>TXN100407</t>
        </is>
      </c>
      <c r="B404" s="4" t="inlineStr">
        <is>
          <t>CUST0407</t>
        </is>
      </c>
      <c r="C404" s="4" t="inlineStr">
        <is>
          <t>2026-06-01 22:42:00</t>
        </is>
      </c>
      <c r="D404" s="4">
        <f>TEXT(LEFT(C404,10),"YYYY-MM-DD")</f>
        <v/>
      </c>
      <c r="E404" s="5">
        <f>HOUR(C404)</f>
        <v/>
      </c>
      <c r="F404" s="4" t="inlineStr">
        <is>
          <t>Female</t>
        </is>
      </c>
      <c r="G404" s="5" t="n">
        <v>48</v>
      </c>
      <c r="H404" s="4">
        <f>IF(G404&gt;=60, "Boomer", IF(G404&gt;=45, "Gen X", IF(G404&gt;=25, "Millennial", "Gen Z")))</f>
        <v/>
      </c>
      <c r="I404" s="4" t="inlineStr">
        <is>
          <t>Savings</t>
        </is>
      </c>
      <c r="J404" s="4" t="inlineStr">
        <is>
          <t>Entertainment</t>
        </is>
      </c>
      <c r="K404" s="6" t="n">
        <v>1685.38</v>
      </c>
      <c r="L404" s="6" t="n">
        <v>34812.22</v>
      </c>
      <c r="M404" s="4" t="inlineStr">
        <is>
          <t>Branch Office</t>
        </is>
      </c>
      <c r="N404" s="4" t="inlineStr">
        <is>
          <t>N</t>
        </is>
      </c>
      <c r="O404" s="4">
        <f>TEXT(D404, "dddd")</f>
        <v/>
      </c>
      <c r="P404" s="4">
        <f>"Q"&amp;ROUNDUP(MONTH(D404)/3, 0)</f>
        <v/>
      </c>
    </row>
    <row r="405">
      <c r="A405" s="7" t="inlineStr">
        <is>
          <t>TXN100408</t>
        </is>
      </c>
      <c r="B405" s="7" t="inlineStr">
        <is>
          <t>CUST0408</t>
        </is>
      </c>
      <c r="C405" s="7" t="inlineStr">
        <is>
          <t>2026-06-01 08:50:00</t>
        </is>
      </c>
      <c r="D405" s="7">
        <f>TEXT(LEFT(C405,10),"YYYY-MM-DD")</f>
        <v/>
      </c>
      <c r="E405" s="8">
        <f>HOUR(C405)</f>
        <v/>
      </c>
      <c r="F405" s="7" t="inlineStr">
        <is>
          <t>Male</t>
        </is>
      </c>
      <c r="G405" s="8" t="n">
        <v>66</v>
      </c>
      <c r="H405" s="7">
        <f>IF(G405&gt;=60, "Boomer", IF(G405&gt;=45, "Gen X", IF(G405&gt;=25, "Millennial", "Gen Z")))</f>
        <v/>
      </c>
      <c r="I405" s="7" t="inlineStr">
        <is>
          <t>Savings</t>
        </is>
      </c>
      <c r="J405" s="7" t="inlineStr">
        <is>
          <t>Groceries</t>
        </is>
      </c>
      <c r="K405" s="9" t="n">
        <v>3093.64</v>
      </c>
      <c r="L405" s="9" t="n">
        <v>36762.93</v>
      </c>
      <c r="M405" s="7" t="inlineStr">
        <is>
          <t>Online Banking</t>
        </is>
      </c>
      <c r="N405" s="7" t="inlineStr">
        <is>
          <t>N</t>
        </is>
      </c>
      <c r="O405" s="7">
        <f>TEXT(D405, "dddd")</f>
        <v/>
      </c>
      <c r="P405" s="7">
        <f>"Q"&amp;ROUNDUP(MONTH(D405)/3, 0)</f>
        <v/>
      </c>
    </row>
    <row r="406">
      <c r="A406" s="4" t="inlineStr">
        <is>
          <t>TXN100409</t>
        </is>
      </c>
      <c r="B406" s="4" t="inlineStr">
        <is>
          <t>CUST0409</t>
        </is>
      </c>
      <c r="C406" s="4" t="inlineStr">
        <is>
          <t>2026-06-01 13:31:00</t>
        </is>
      </c>
      <c r="D406" s="4">
        <f>TEXT(LEFT(C406,10),"YYYY-MM-DD")</f>
        <v/>
      </c>
      <c r="E406" s="5">
        <f>HOUR(C406)</f>
        <v/>
      </c>
      <c r="F406" s="4" t="inlineStr">
        <is>
          <t>Unspecified</t>
        </is>
      </c>
      <c r="G406" s="5" t="n">
        <v>42</v>
      </c>
      <c r="H406" s="4">
        <f>IF(G406&gt;=60, "Boomer", IF(G406&gt;=45, "Gen X", IF(G406&gt;=25, "Millennial", "Gen Z")))</f>
        <v/>
      </c>
      <c r="I406" s="4" t="inlineStr">
        <is>
          <t>Investment</t>
        </is>
      </c>
      <c r="J406" s="4" t="inlineStr">
        <is>
          <t>Utilities</t>
        </is>
      </c>
      <c r="K406" s="6" t="n">
        <v>820.41</v>
      </c>
      <c r="L406" s="6" t="n">
        <v>24234.72</v>
      </c>
      <c r="M406" s="4" t="inlineStr">
        <is>
          <t>Online Banking</t>
        </is>
      </c>
      <c r="N406" s="4" t="inlineStr">
        <is>
          <t>N</t>
        </is>
      </c>
      <c r="O406" s="4">
        <f>TEXT(D406, "dddd")</f>
        <v/>
      </c>
      <c r="P406" s="4">
        <f>"Q"&amp;ROUNDUP(MONTH(D406)/3, 0)</f>
        <v/>
      </c>
    </row>
    <row r="407">
      <c r="A407" s="7" t="inlineStr">
        <is>
          <t>TXN100410</t>
        </is>
      </c>
      <c r="B407" s="7" t="inlineStr">
        <is>
          <t>CUST0410</t>
        </is>
      </c>
      <c r="C407" s="7" t="inlineStr">
        <is>
          <t>2026-06-01 05:28:00</t>
        </is>
      </c>
      <c r="D407" s="7">
        <f>TEXT(LEFT(C407,10),"YYYY-MM-DD")</f>
        <v/>
      </c>
      <c r="E407" s="8">
        <f>HOUR(C407)</f>
        <v/>
      </c>
      <c r="F407" s="7" t="inlineStr">
        <is>
          <t>Male</t>
        </is>
      </c>
      <c r="G407" s="8" t="n">
        <v>71</v>
      </c>
      <c r="H407" s="7">
        <f>IF(G407&gt;=60, "Boomer", IF(G407&gt;=45, "Gen X", IF(G407&gt;=25, "Millennial", "Gen Z")))</f>
        <v/>
      </c>
      <c r="I407" s="7" t="inlineStr">
        <is>
          <t>Savings</t>
        </is>
      </c>
      <c r="J407" s="7" t="inlineStr">
        <is>
          <t>Entertainment</t>
        </is>
      </c>
      <c r="K407" s="9" t="n">
        <v>170.42</v>
      </c>
      <c r="L407" s="9" t="n">
        <v>13425.82</v>
      </c>
      <c r="M407" s="7" t="inlineStr">
        <is>
          <t>Mobile App</t>
        </is>
      </c>
      <c r="N407" s="7" t="inlineStr">
        <is>
          <t>N</t>
        </is>
      </c>
      <c r="O407" s="7">
        <f>TEXT(D407, "dddd")</f>
        <v/>
      </c>
      <c r="P407" s="7">
        <f>"Q"&amp;ROUNDUP(MONTH(D407)/3, 0)</f>
        <v/>
      </c>
    </row>
    <row r="408">
      <c r="A408" s="4" t="inlineStr">
        <is>
          <t>TXN100411</t>
        </is>
      </c>
      <c r="B408" s="4" t="inlineStr">
        <is>
          <t>CUST0411</t>
        </is>
      </c>
      <c r="C408" s="4" t="inlineStr">
        <is>
          <t>2026-06-01 02:21:00</t>
        </is>
      </c>
      <c r="D408" s="4">
        <f>TEXT(LEFT(C408,10),"YYYY-MM-DD")</f>
        <v/>
      </c>
      <c r="E408" s="5">
        <f>HOUR(C408)</f>
        <v/>
      </c>
      <c r="F408" s="4" t="inlineStr">
        <is>
          <t>Male</t>
        </is>
      </c>
      <c r="G408" s="5" t="n">
        <v>44</v>
      </c>
      <c r="H408" s="4">
        <f>IF(G408&gt;=60, "Boomer", IF(G408&gt;=45, "Gen X", IF(G408&gt;=25, "Millennial", "Gen Z")))</f>
        <v/>
      </c>
      <c r="I408" s="4" t="inlineStr">
        <is>
          <t>Savings</t>
        </is>
      </c>
      <c r="J408" s="4" t="inlineStr">
        <is>
          <t>Groceries</t>
        </is>
      </c>
      <c r="K408" s="6" t="n">
        <v>4380.9</v>
      </c>
      <c r="L408" s="6" t="n">
        <v>44957.15</v>
      </c>
      <c r="M408" s="4" t="inlineStr">
        <is>
          <t>Mobile App</t>
        </is>
      </c>
      <c r="N408" s="4" t="inlineStr">
        <is>
          <t>N</t>
        </is>
      </c>
      <c r="O408" s="4">
        <f>TEXT(D408, "dddd")</f>
        <v/>
      </c>
      <c r="P408" s="4">
        <f>"Q"&amp;ROUNDUP(MONTH(D408)/3, 0)</f>
        <v/>
      </c>
    </row>
    <row r="409">
      <c r="A409" s="7" t="inlineStr">
        <is>
          <t>TXN100412</t>
        </is>
      </c>
      <c r="B409" s="7" t="inlineStr">
        <is>
          <t>CUST0412</t>
        </is>
      </c>
      <c r="C409" s="7" t="inlineStr">
        <is>
          <t>2026-06-01 10:38:00</t>
        </is>
      </c>
      <c r="D409" s="7">
        <f>TEXT(LEFT(C409,10),"YYYY-MM-DD")</f>
        <v/>
      </c>
      <c r="E409" s="8">
        <f>HOUR(C409)</f>
        <v/>
      </c>
      <c r="F409" s="7" t="inlineStr">
        <is>
          <t>Unspecified</t>
        </is>
      </c>
      <c r="G409" s="8" t="n">
        <v>65</v>
      </c>
      <c r="H409" s="7">
        <f>IF(G409&gt;=60, "Boomer", IF(G409&gt;=45, "Gen X", IF(G409&gt;=25, "Millennial", "Gen Z")))</f>
        <v/>
      </c>
      <c r="I409" s="7" t="inlineStr">
        <is>
          <t>Savings</t>
        </is>
      </c>
      <c r="J409" s="7" t="inlineStr">
        <is>
          <t>Utilities</t>
        </is>
      </c>
      <c r="K409" s="9" t="n">
        <v>7540.11</v>
      </c>
      <c r="L409" s="9" t="n">
        <v>8667.360000000001</v>
      </c>
      <c r="M409" s="7" t="inlineStr">
        <is>
          <t>ATM</t>
        </is>
      </c>
      <c r="N409" s="7" t="inlineStr">
        <is>
          <t>N</t>
        </is>
      </c>
      <c r="O409" s="7">
        <f>TEXT(D409, "dddd")</f>
        <v/>
      </c>
      <c r="P409" s="7">
        <f>"Q"&amp;ROUNDUP(MONTH(D409)/3, 0)</f>
        <v/>
      </c>
    </row>
    <row r="410">
      <c r="A410" s="4" t="inlineStr">
        <is>
          <t>TXN100413</t>
        </is>
      </c>
      <c r="B410" s="4" t="inlineStr">
        <is>
          <t>CUST0413</t>
        </is>
      </c>
      <c r="C410" s="4" t="inlineStr">
        <is>
          <t>2026-06-01 03:21:00</t>
        </is>
      </c>
      <c r="D410" s="4">
        <f>TEXT(LEFT(C410,10),"YYYY-MM-DD")</f>
        <v/>
      </c>
      <c r="E410" s="5">
        <f>HOUR(C410)</f>
        <v/>
      </c>
      <c r="F410" s="4" t="inlineStr">
        <is>
          <t>Female</t>
        </is>
      </c>
      <c r="G410" s="5" t="n">
        <v>32</v>
      </c>
      <c r="H410" s="4">
        <f>IF(G410&gt;=60, "Boomer", IF(G410&gt;=45, "Gen X", IF(G410&gt;=25, "Millennial", "Gen Z")))</f>
        <v/>
      </c>
      <c r="I410" s="4" t="inlineStr">
        <is>
          <t>Checking</t>
        </is>
      </c>
      <c r="J410" s="4" t="inlineStr">
        <is>
          <t>Travel</t>
        </is>
      </c>
      <c r="K410" s="6" t="n">
        <v>5779.08</v>
      </c>
      <c r="L410" s="6" t="n">
        <v>36633.71</v>
      </c>
      <c r="M410" s="4" t="inlineStr">
        <is>
          <t>Branch Office</t>
        </is>
      </c>
      <c r="N410" s="4" t="inlineStr">
        <is>
          <t>N</t>
        </is>
      </c>
      <c r="O410" s="4">
        <f>TEXT(D410, "dddd")</f>
        <v/>
      </c>
      <c r="P410" s="4">
        <f>"Q"&amp;ROUNDUP(MONTH(D410)/3, 0)</f>
        <v/>
      </c>
    </row>
    <row r="411">
      <c r="A411" s="7" t="inlineStr">
        <is>
          <t>TXN100414</t>
        </is>
      </c>
      <c r="B411" s="7" t="inlineStr">
        <is>
          <t>CUST0414</t>
        </is>
      </c>
      <c r="C411" s="7" t="inlineStr">
        <is>
          <t>2026-06-01 21:18:00</t>
        </is>
      </c>
      <c r="D411" s="7">
        <f>TEXT(LEFT(C411,10),"YYYY-MM-DD")</f>
        <v/>
      </c>
      <c r="E411" s="8">
        <f>HOUR(C411)</f>
        <v/>
      </c>
      <c r="F411" s="7" t="inlineStr">
        <is>
          <t>Female</t>
        </is>
      </c>
      <c r="G411" s="8" t="n">
        <v>35</v>
      </c>
      <c r="H411" s="7">
        <f>IF(G411&gt;=60, "Boomer", IF(G411&gt;=45, "Gen X", IF(G411&gt;=25, "Millennial", "Gen Z")))</f>
        <v/>
      </c>
      <c r="I411" s="7" t="inlineStr">
        <is>
          <t>Savings</t>
        </is>
      </c>
      <c r="J411" s="7" t="inlineStr">
        <is>
          <t>Groceries</t>
        </is>
      </c>
      <c r="K411" s="9" t="n">
        <v>3149.29</v>
      </c>
      <c r="L411" s="9" t="n">
        <v>27708.3</v>
      </c>
      <c r="M411" s="7" t="inlineStr">
        <is>
          <t>ATM</t>
        </is>
      </c>
      <c r="N411" s="7" t="inlineStr">
        <is>
          <t>N</t>
        </is>
      </c>
      <c r="O411" s="7">
        <f>TEXT(D411, "dddd")</f>
        <v/>
      </c>
      <c r="P411" s="7">
        <f>"Q"&amp;ROUNDUP(MONTH(D411)/3, 0)</f>
        <v/>
      </c>
    </row>
    <row r="412">
      <c r="A412" s="4" t="inlineStr">
        <is>
          <t>TXN100415</t>
        </is>
      </c>
      <c r="B412" s="4" t="inlineStr">
        <is>
          <t>CUST0415</t>
        </is>
      </c>
      <c r="C412" s="4" t="inlineStr">
        <is>
          <t>2026-06-01 04:03:00</t>
        </is>
      </c>
      <c r="D412" s="4">
        <f>TEXT(LEFT(C412,10),"YYYY-MM-DD")</f>
        <v/>
      </c>
      <c r="E412" s="5">
        <f>HOUR(C412)</f>
        <v/>
      </c>
      <c r="F412" s="4" t="inlineStr">
        <is>
          <t>Female</t>
        </is>
      </c>
      <c r="G412" s="5" t="n">
        <v>20</v>
      </c>
      <c r="H412" s="4">
        <f>IF(G412&gt;=60, "Boomer", IF(G412&gt;=45, "Gen X", IF(G412&gt;=25, "Millennial", "Gen Z")))</f>
        <v/>
      </c>
      <c r="I412" s="4" t="inlineStr">
        <is>
          <t>Checking</t>
        </is>
      </c>
      <c r="J412" s="4" t="inlineStr">
        <is>
          <t>Groceries</t>
        </is>
      </c>
      <c r="K412" s="6" t="n">
        <v>2363.45</v>
      </c>
      <c r="L412" s="6" t="n">
        <v>33270</v>
      </c>
      <c r="M412" s="4" t="inlineStr">
        <is>
          <t>ATM</t>
        </is>
      </c>
      <c r="N412" s="4" t="inlineStr">
        <is>
          <t>N</t>
        </is>
      </c>
      <c r="O412" s="4">
        <f>TEXT(D412, "dddd")</f>
        <v/>
      </c>
      <c r="P412" s="4">
        <f>"Q"&amp;ROUNDUP(MONTH(D412)/3, 0)</f>
        <v/>
      </c>
    </row>
    <row r="413">
      <c r="A413" s="7" t="inlineStr">
        <is>
          <t>TXN100416</t>
        </is>
      </c>
      <c r="B413" s="7" t="inlineStr">
        <is>
          <t>CUST0416</t>
        </is>
      </c>
      <c r="C413" s="7" t="inlineStr">
        <is>
          <t>2026-06-01 06:06:00</t>
        </is>
      </c>
      <c r="D413" s="7">
        <f>TEXT(LEFT(C413,10),"YYYY-MM-DD")</f>
        <v/>
      </c>
      <c r="E413" s="8">
        <f>HOUR(C413)</f>
        <v/>
      </c>
      <c r="F413" s="7" t="inlineStr">
        <is>
          <t>Male</t>
        </is>
      </c>
      <c r="G413" s="8" t="n">
        <v>33</v>
      </c>
      <c r="H413" s="7">
        <f>IF(G413&gt;=60, "Boomer", IF(G413&gt;=45, "Gen X", IF(G413&gt;=25, "Millennial", "Gen Z")))</f>
        <v/>
      </c>
      <c r="I413" s="7" t="inlineStr">
        <is>
          <t>Savings</t>
        </is>
      </c>
      <c r="J413" s="7" t="inlineStr">
        <is>
          <t>Entertainment</t>
        </is>
      </c>
      <c r="K413" s="9" t="n">
        <v>7816.69</v>
      </c>
      <c r="L413" s="9" t="n">
        <v>23941.75</v>
      </c>
      <c r="M413" s="7" t="inlineStr">
        <is>
          <t>Mobile App</t>
        </is>
      </c>
      <c r="N413" s="7" t="inlineStr">
        <is>
          <t>N</t>
        </is>
      </c>
      <c r="O413" s="7">
        <f>TEXT(D413, "dddd")</f>
        <v/>
      </c>
      <c r="P413" s="7">
        <f>"Q"&amp;ROUNDUP(MONTH(D413)/3, 0)</f>
        <v/>
      </c>
    </row>
    <row r="414">
      <c r="A414" s="4" t="inlineStr">
        <is>
          <t>TXN100417</t>
        </is>
      </c>
      <c r="B414" s="4" t="inlineStr">
        <is>
          <t>CUST0417</t>
        </is>
      </c>
      <c r="C414" s="4" t="inlineStr">
        <is>
          <t>2026-06-01 12:30:00</t>
        </is>
      </c>
      <c r="D414" s="4">
        <f>TEXT(LEFT(C414,10),"YYYY-MM-DD")</f>
        <v/>
      </c>
      <c r="E414" s="5">
        <f>HOUR(C414)</f>
        <v/>
      </c>
      <c r="F414" s="4" t="inlineStr">
        <is>
          <t>Unspecified</t>
        </is>
      </c>
      <c r="G414" s="5" t="n">
        <v>62</v>
      </c>
      <c r="H414" s="4">
        <f>IF(G414&gt;=60, "Boomer", IF(G414&gt;=45, "Gen X", IF(G414&gt;=25, "Millennial", "Gen Z")))</f>
        <v/>
      </c>
      <c r="I414" s="4" t="inlineStr">
        <is>
          <t>Checking</t>
        </is>
      </c>
      <c r="J414" s="4" t="inlineStr">
        <is>
          <t>Groceries</t>
        </is>
      </c>
      <c r="K414" s="6" t="n">
        <v>5138.51</v>
      </c>
      <c r="L414" s="6" t="n">
        <v>19682.59</v>
      </c>
      <c r="M414" s="4" t="inlineStr">
        <is>
          <t>Branch Office</t>
        </is>
      </c>
      <c r="N414" s="4" t="inlineStr">
        <is>
          <t>N</t>
        </is>
      </c>
      <c r="O414" s="4">
        <f>TEXT(D414, "dddd")</f>
        <v/>
      </c>
      <c r="P414" s="4">
        <f>"Q"&amp;ROUNDUP(MONTH(D414)/3, 0)</f>
        <v/>
      </c>
    </row>
    <row r="415">
      <c r="A415" s="7" t="inlineStr">
        <is>
          <t>TXN100418</t>
        </is>
      </c>
      <c r="B415" s="7" t="inlineStr">
        <is>
          <t>CUST0418</t>
        </is>
      </c>
      <c r="C415" s="7" t="inlineStr">
        <is>
          <t>2026-06-01 12:23:00</t>
        </is>
      </c>
      <c r="D415" s="7">
        <f>TEXT(LEFT(C415,10),"YYYY-MM-DD")</f>
        <v/>
      </c>
      <c r="E415" s="8">
        <f>HOUR(C415)</f>
        <v/>
      </c>
      <c r="F415" s="7" t="inlineStr">
        <is>
          <t>Male</t>
        </is>
      </c>
      <c r="G415" s="8" t="n">
        <v>48</v>
      </c>
      <c r="H415" s="7">
        <f>IF(G415&gt;=60, "Boomer", IF(G415&gt;=45, "Gen X", IF(G415&gt;=25, "Millennial", "Gen Z")))</f>
        <v/>
      </c>
      <c r="I415" s="7" t="inlineStr">
        <is>
          <t>Savings</t>
        </is>
      </c>
      <c r="J415" s="7" t="inlineStr">
        <is>
          <t>Entertainment</t>
        </is>
      </c>
      <c r="K415" s="9" t="n">
        <v>3523.53</v>
      </c>
      <c r="L415" s="9" t="n">
        <v>13538.34</v>
      </c>
      <c r="M415" s="7" t="inlineStr">
        <is>
          <t>Branch Office</t>
        </is>
      </c>
      <c r="N415" s="7" t="inlineStr">
        <is>
          <t>N</t>
        </is>
      </c>
      <c r="O415" s="7">
        <f>TEXT(D415, "dddd")</f>
        <v/>
      </c>
      <c r="P415" s="7">
        <f>"Q"&amp;ROUNDUP(MONTH(D415)/3, 0)</f>
        <v/>
      </c>
    </row>
    <row r="416">
      <c r="A416" s="4" t="inlineStr">
        <is>
          <t>TXN100419</t>
        </is>
      </c>
      <c r="B416" s="4" t="inlineStr">
        <is>
          <t>CUST0419</t>
        </is>
      </c>
      <c r="C416" s="4" t="inlineStr">
        <is>
          <t>2026-06-01 18:03:00</t>
        </is>
      </c>
      <c r="D416" s="4">
        <f>TEXT(LEFT(C416,10),"YYYY-MM-DD")</f>
        <v/>
      </c>
      <c r="E416" s="5">
        <f>HOUR(C416)</f>
        <v/>
      </c>
      <c r="F416" s="4" t="inlineStr">
        <is>
          <t>Male</t>
        </is>
      </c>
      <c r="G416" s="5" t="n">
        <v>68</v>
      </c>
      <c r="H416" s="4">
        <f>IF(G416&gt;=60, "Boomer", IF(G416&gt;=45, "Gen X", IF(G416&gt;=25, "Millennial", "Gen Z")))</f>
        <v/>
      </c>
      <c r="I416" s="4" t="inlineStr">
        <is>
          <t>Investment</t>
        </is>
      </c>
      <c r="J416" s="4" t="inlineStr">
        <is>
          <t>Groceries</t>
        </is>
      </c>
      <c r="K416" s="6" t="n">
        <v>694.8</v>
      </c>
      <c r="L416" s="6" t="n">
        <v>17517.67</v>
      </c>
      <c r="M416" s="4" t="inlineStr">
        <is>
          <t>ATM</t>
        </is>
      </c>
      <c r="N416" s="4" t="inlineStr">
        <is>
          <t>N</t>
        </is>
      </c>
      <c r="O416" s="4">
        <f>TEXT(D416, "dddd")</f>
        <v/>
      </c>
      <c r="P416" s="4">
        <f>"Q"&amp;ROUNDUP(MONTH(D416)/3, 0)</f>
        <v/>
      </c>
    </row>
    <row r="417">
      <c r="A417" s="7" t="inlineStr">
        <is>
          <t>TXN100420</t>
        </is>
      </c>
      <c r="B417" s="7" t="inlineStr">
        <is>
          <t>CUST0420</t>
        </is>
      </c>
      <c r="C417" s="7" t="inlineStr">
        <is>
          <t>2026-06-01 18:14:00</t>
        </is>
      </c>
      <c r="D417" s="7">
        <f>TEXT(LEFT(C417,10),"YYYY-MM-DD")</f>
        <v/>
      </c>
      <c r="E417" s="8">
        <f>HOUR(C417)</f>
        <v/>
      </c>
      <c r="F417" s="7" t="inlineStr">
        <is>
          <t>Male</t>
        </is>
      </c>
      <c r="G417" s="8" t="n">
        <v>73</v>
      </c>
      <c r="H417" s="7">
        <f>IF(G417&gt;=60, "Boomer", IF(G417&gt;=45, "Gen X", IF(G417&gt;=25, "Millennial", "Gen Z")))</f>
        <v/>
      </c>
      <c r="I417" s="7" t="inlineStr">
        <is>
          <t>Checking</t>
        </is>
      </c>
      <c r="J417" s="7" t="inlineStr">
        <is>
          <t>Travel</t>
        </is>
      </c>
      <c r="K417" s="9" t="n">
        <v>3354.87</v>
      </c>
      <c r="L417" s="9" t="n">
        <v>27007.96</v>
      </c>
      <c r="M417" s="7" t="inlineStr">
        <is>
          <t>ATM</t>
        </is>
      </c>
      <c r="N417" s="7" t="inlineStr">
        <is>
          <t>N</t>
        </is>
      </c>
      <c r="O417" s="7">
        <f>TEXT(D417, "dddd")</f>
        <v/>
      </c>
      <c r="P417" s="7">
        <f>"Q"&amp;ROUNDUP(MONTH(D417)/3, 0)</f>
        <v/>
      </c>
    </row>
    <row r="418">
      <c r="A418" s="4" t="inlineStr">
        <is>
          <t>TXN100421</t>
        </is>
      </c>
      <c r="B418" s="4" t="inlineStr">
        <is>
          <t>CUST0421</t>
        </is>
      </c>
      <c r="C418" s="4" t="inlineStr">
        <is>
          <t>2026-06-01 18:56:00</t>
        </is>
      </c>
      <c r="D418" s="4">
        <f>TEXT(LEFT(C418,10),"YYYY-MM-DD")</f>
        <v/>
      </c>
      <c r="E418" s="5">
        <f>HOUR(C418)</f>
        <v/>
      </c>
      <c r="F418" s="4" t="inlineStr">
        <is>
          <t>Female</t>
        </is>
      </c>
      <c r="G418" s="5" t="n">
        <v>50</v>
      </c>
      <c r="H418" s="4">
        <f>IF(G418&gt;=60, "Boomer", IF(G418&gt;=45, "Gen X", IF(G418&gt;=25, "Millennial", "Gen Z")))</f>
        <v/>
      </c>
      <c r="I418" s="4" t="inlineStr">
        <is>
          <t>Checking</t>
        </is>
      </c>
      <c r="J418" s="4" t="inlineStr">
        <is>
          <t>Groceries</t>
        </is>
      </c>
      <c r="K418" s="6" t="n">
        <v>3164.49</v>
      </c>
      <c r="L418" s="6" t="n">
        <v>42770.02</v>
      </c>
      <c r="M418" s="4" t="inlineStr">
        <is>
          <t>Mobile App</t>
        </is>
      </c>
      <c r="N418" s="4" t="inlineStr">
        <is>
          <t>N</t>
        </is>
      </c>
      <c r="O418" s="4">
        <f>TEXT(D418, "dddd")</f>
        <v/>
      </c>
      <c r="P418" s="4">
        <f>"Q"&amp;ROUNDUP(MONTH(D418)/3, 0)</f>
        <v/>
      </c>
    </row>
    <row r="419">
      <c r="A419" s="7" t="inlineStr">
        <is>
          <t>TXN100422</t>
        </is>
      </c>
      <c r="B419" s="7" t="inlineStr">
        <is>
          <t>CUST0422</t>
        </is>
      </c>
      <c r="C419" s="7" t="inlineStr">
        <is>
          <t>2026-06-01 16:36:00</t>
        </is>
      </c>
      <c r="D419" s="7">
        <f>TEXT(LEFT(C419,10),"YYYY-MM-DD")</f>
        <v/>
      </c>
      <c r="E419" s="8">
        <f>HOUR(C419)</f>
        <v/>
      </c>
      <c r="F419" s="7" t="inlineStr">
        <is>
          <t>Male</t>
        </is>
      </c>
      <c r="G419" s="8" t="n">
        <v>27</v>
      </c>
      <c r="H419" s="7">
        <f>IF(G419&gt;=60, "Boomer", IF(G419&gt;=45, "Gen X", IF(G419&gt;=25, "Millennial", "Gen Z")))</f>
        <v/>
      </c>
      <c r="I419" s="7" t="inlineStr">
        <is>
          <t>Checking</t>
        </is>
      </c>
      <c r="J419" s="7" t="inlineStr">
        <is>
          <t>Groceries</t>
        </is>
      </c>
      <c r="K419" s="9" t="n">
        <v>7593</v>
      </c>
      <c r="L419" s="9" t="n">
        <v>8774.66</v>
      </c>
      <c r="M419" s="7" t="inlineStr">
        <is>
          <t>Online Banking</t>
        </is>
      </c>
      <c r="N419" s="7" t="inlineStr">
        <is>
          <t>Y</t>
        </is>
      </c>
      <c r="O419" s="7">
        <f>TEXT(D419, "dddd")</f>
        <v/>
      </c>
      <c r="P419" s="7">
        <f>"Q"&amp;ROUNDUP(MONTH(D419)/3, 0)</f>
        <v/>
      </c>
    </row>
    <row r="420">
      <c r="A420" s="4" t="inlineStr">
        <is>
          <t>TXN100423</t>
        </is>
      </c>
      <c r="B420" s="4" t="inlineStr">
        <is>
          <t>CUST0423</t>
        </is>
      </c>
      <c r="C420" s="4" t="inlineStr">
        <is>
          <t>2026-06-01 04:02:00</t>
        </is>
      </c>
      <c r="D420" s="4">
        <f>TEXT(LEFT(C420,10),"YYYY-MM-DD")</f>
        <v/>
      </c>
      <c r="E420" s="5">
        <f>HOUR(C420)</f>
        <v/>
      </c>
      <c r="F420" s="4" t="inlineStr">
        <is>
          <t>Unspecified</t>
        </is>
      </c>
      <c r="G420" s="5" t="n">
        <v>25</v>
      </c>
      <c r="H420" s="4">
        <f>IF(G420&gt;=60, "Boomer", IF(G420&gt;=45, "Gen X", IF(G420&gt;=25, "Millennial", "Gen Z")))</f>
        <v/>
      </c>
      <c r="I420" s="4" t="inlineStr">
        <is>
          <t>Investment</t>
        </is>
      </c>
      <c r="J420" s="4" t="inlineStr">
        <is>
          <t>Utilities</t>
        </is>
      </c>
      <c r="K420" s="6" t="n">
        <v>1623.34</v>
      </c>
      <c r="L420" s="6" t="n">
        <v>41216.92</v>
      </c>
      <c r="M420" s="4" t="inlineStr">
        <is>
          <t>Online Banking</t>
        </is>
      </c>
      <c r="N420" s="4" t="inlineStr">
        <is>
          <t>N</t>
        </is>
      </c>
      <c r="O420" s="4">
        <f>TEXT(D420, "dddd")</f>
        <v/>
      </c>
      <c r="P420" s="4">
        <f>"Q"&amp;ROUNDUP(MONTH(D420)/3, 0)</f>
        <v/>
      </c>
    </row>
    <row r="421">
      <c r="A421" s="7" t="inlineStr">
        <is>
          <t>TXN100424</t>
        </is>
      </c>
      <c r="B421" s="7" t="inlineStr">
        <is>
          <t>CUST0424</t>
        </is>
      </c>
      <c r="C421" s="7" t="inlineStr">
        <is>
          <t>2026-06-01 19:16:00</t>
        </is>
      </c>
      <c r="D421" s="7">
        <f>TEXT(LEFT(C421,10),"YYYY-MM-DD")</f>
        <v/>
      </c>
      <c r="E421" s="8">
        <f>HOUR(C421)</f>
        <v/>
      </c>
      <c r="F421" s="7" t="inlineStr">
        <is>
          <t>Female</t>
        </is>
      </c>
      <c r="G421" s="8" t="n">
        <v>66</v>
      </c>
      <c r="H421" s="7">
        <f>IF(G421&gt;=60, "Boomer", IF(G421&gt;=45, "Gen X", IF(G421&gt;=25, "Millennial", "Gen Z")))</f>
        <v/>
      </c>
      <c r="I421" s="7" t="inlineStr">
        <is>
          <t>Savings</t>
        </is>
      </c>
      <c r="J421" s="7" t="inlineStr">
        <is>
          <t>Groceries</t>
        </is>
      </c>
      <c r="K421" s="9" t="n">
        <v>3110.91</v>
      </c>
      <c r="L421" s="9" t="n">
        <v>20169.07</v>
      </c>
      <c r="M421" s="7" t="inlineStr">
        <is>
          <t>Branch Office</t>
        </is>
      </c>
      <c r="N421" s="7" t="inlineStr">
        <is>
          <t>N</t>
        </is>
      </c>
      <c r="O421" s="7">
        <f>TEXT(D421, "dddd")</f>
        <v/>
      </c>
      <c r="P421" s="7">
        <f>"Q"&amp;ROUNDUP(MONTH(D421)/3, 0)</f>
        <v/>
      </c>
    </row>
    <row r="422">
      <c r="A422" s="4" t="inlineStr">
        <is>
          <t>TXN100425</t>
        </is>
      </c>
      <c r="B422" s="4" t="inlineStr">
        <is>
          <t>CUST0425</t>
        </is>
      </c>
      <c r="C422" s="4" t="inlineStr">
        <is>
          <t>2026-06-01 08:33:00</t>
        </is>
      </c>
      <c r="D422" s="4">
        <f>TEXT(LEFT(C422,10),"YYYY-MM-DD")</f>
        <v/>
      </c>
      <c r="E422" s="5">
        <f>HOUR(C422)</f>
        <v/>
      </c>
      <c r="F422" s="4" t="inlineStr">
        <is>
          <t>Unspecified</t>
        </is>
      </c>
      <c r="G422" s="5" t="n">
        <v>75</v>
      </c>
      <c r="H422" s="4">
        <f>IF(G422&gt;=60, "Boomer", IF(G422&gt;=45, "Gen X", IF(G422&gt;=25, "Millennial", "Gen Z")))</f>
        <v/>
      </c>
      <c r="I422" s="4" t="inlineStr">
        <is>
          <t>Savings</t>
        </is>
      </c>
      <c r="J422" s="4" t="inlineStr">
        <is>
          <t>Travel</t>
        </is>
      </c>
      <c r="K422" s="6" t="n">
        <v>4704.73</v>
      </c>
      <c r="L422" s="6" t="n">
        <v>39193.44</v>
      </c>
      <c r="M422" s="4" t="inlineStr">
        <is>
          <t>Mobile App</t>
        </is>
      </c>
      <c r="N422" s="4" t="inlineStr">
        <is>
          <t>N</t>
        </is>
      </c>
      <c r="O422" s="4">
        <f>TEXT(D422, "dddd")</f>
        <v/>
      </c>
      <c r="P422" s="4">
        <f>"Q"&amp;ROUNDUP(MONTH(D422)/3, 0)</f>
        <v/>
      </c>
    </row>
    <row r="423">
      <c r="A423" s="7" t="inlineStr">
        <is>
          <t>TXN100426</t>
        </is>
      </c>
      <c r="B423" s="7" t="inlineStr">
        <is>
          <t>CUST0426</t>
        </is>
      </c>
      <c r="C423" s="7" t="inlineStr">
        <is>
          <t>2026-06-01 13:09:00</t>
        </is>
      </c>
      <c r="D423" s="7">
        <f>TEXT(LEFT(C423,10),"YYYY-MM-DD")</f>
        <v/>
      </c>
      <c r="E423" s="8">
        <f>HOUR(C423)</f>
        <v/>
      </c>
      <c r="F423" s="7" t="inlineStr">
        <is>
          <t>Male</t>
        </is>
      </c>
      <c r="G423" s="8" t="n">
        <v>56</v>
      </c>
      <c r="H423" s="7">
        <f>IF(G423&gt;=60, "Boomer", IF(G423&gt;=45, "Gen X", IF(G423&gt;=25, "Millennial", "Gen Z")))</f>
        <v/>
      </c>
      <c r="I423" s="7" t="inlineStr">
        <is>
          <t>Investment</t>
        </is>
      </c>
      <c r="J423" s="7" t="inlineStr">
        <is>
          <t>Travel</t>
        </is>
      </c>
      <c r="K423" s="9" t="n">
        <v>6069.44</v>
      </c>
      <c r="L423" s="9" t="n">
        <v>47012.67</v>
      </c>
      <c r="M423" s="7" t="inlineStr">
        <is>
          <t>Mobile App</t>
        </is>
      </c>
      <c r="N423" s="7" t="inlineStr">
        <is>
          <t>N</t>
        </is>
      </c>
      <c r="O423" s="7">
        <f>TEXT(D423, "dddd")</f>
        <v/>
      </c>
      <c r="P423" s="7">
        <f>"Q"&amp;ROUNDUP(MONTH(D423)/3, 0)</f>
        <v/>
      </c>
    </row>
    <row r="424">
      <c r="A424" s="4" t="inlineStr">
        <is>
          <t>TXN100427</t>
        </is>
      </c>
      <c r="B424" s="4" t="inlineStr">
        <is>
          <t>CUST0427</t>
        </is>
      </c>
      <c r="C424" s="4" t="inlineStr">
        <is>
          <t>2026-06-01 18:49:00</t>
        </is>
      </c>
      <c r="D424" s="4">
        <f>TEXT(LEFT(C424,10),"YYYY-MM-DD")</f>
        <v/>
      </c>
      <c r="E424" s="5">
        <f>HOUR(C424)</f>
        <v/>
      </c>
      <c r="F424" s="4" t="inlineStr">
        <is>
          <t>Male</t>
        </is>
      </c>
      <c r="G424" s="5" t="n">
        <v>70</v>
      </c>
      <c r="H424" s="4">
        <f>IF(G424&gt;=60, "Boomer", IF(G424&gt;=45, "Gen X", IF(G424&gt;=25, "Millennial", "Gen Z")))</f>
        <v/>
      </c>
      <c r="I424" s="4" t="inlineStr">
        <is>
          <t>Checking</t>
        </is>
      </c>
      <c r="J424" s="4" t="inlineStr">
        <is>
          <t>Travel</t>
        </is>
      </c>
      <c r="K424" s="6" t="n">
        <v>7042.28</v>
      </c>
      <c r="L424" s="6" t="n">
        <v>43955.73</v>
      </c>
      <c r="M424" s="4" t="inlineStr">
        <is>
          <t>Branch Office</t>
        </is>
      </c>
      <c r="N424" s="4" t="inlineStr">
        <is>
          <t>N</t>
        </is>
      </c>
      <c r="O424" s="4">
        <f>TEXT(D424, "dddd")</f>
        <v/>
      </c>
      <c r="P424" s="4">
        <f>"Q"&amp;ROUNDUP(MONTH(D424)/3, 0)</f>
        <v/>
      </c>
    </row>
    <row r="425">
      <c r="A425" s="7" t="inlineStr">
        <is>
          <t>TXN100428</t>
        </is>
      </c>
      <c r="B425" s="7" t="inlineStr">
        <is>
          <t>CUST0428</t>
        </is>
      </c>
      <c r="C425" s="7" t="inlineStr">
        <is>
          <t>2026-06-01 15:36:00</t>
        </is>
      </c>
      <c r="D425" s="7">
        <f>TEXT(LEFT(C425,10),"YYYY-MM-DD")</f>
        <v/>
      </c>
      <c r="E425" s="8">
        <f>HOUR(C425)</f>
        <v/>
      </c>
      <c r="F425" s="7" t="inlineStr">
        <is>
          <t>Unspecified</t>
        </is>
      </c>
      <c r="G425" s="8" t="n">
        <v>22</v>
      </c>
      <c r="H425" s="7">
        <f>IF(G425&gt;=60, "Boomer", IF(G425&gt;=45, "Gen X", IF(G425&gt;=25, "Millennial", "Gen Z")))</f>
        <v/>
      </c>
      <c r="I425" s="7" t="inlineStr">
        <is>
          <t>Savings</t>
        </is>
      </c>
      <c r="J425" s="7" t="inlineStr">
        <is>
          <t>Entertainment</t>
        </is>
      </c>
      <c r="K425" s="9" t="n">
        <v>3229.76</v>
      </c>
      <c r="L425" s="9" t="n">
        <v>31103.1</v>
      </c>
      <c r="M425" s="7" t="inlineStr">
        <is>
          <t>ATM</t>
        </is>
      </c>
      <c r="N425" s="7" t="inlineStr">
        <is>
          <t>N</t>
        </is>
      </c>
      <c r="O425" s="7">
        <f>TEXT(D425, "dddd")</f>
        <v/>
      </c>
      <c r="P425" s="7">
        <f>"Q"&amp;ROUNDUP(MONTH(D425)/3, 0)</f>
        <v/>
      </c>
    </row>
    <row r="426">
      <c r="A426" s="4" t="inlineStr">
        <is>
          <t>TXN100429</t>
        </is>
      </c>
      <c r="B426" s="4" t="inlineStr">
        <is>
          <t>CUST0429</t>
        </is>
      </c>
      <c r="C426" s="4" t="inlineStr">
        <is>
          <t>2026-06-01 01:25:00</t>
        </is>
      </c>
      <c r="D426" s="4">
        <f>TEXT(LEFT(C426,10),"YYYY-MM-DD")</f>
        <v/>
      </c>
      <c r="E426" s="5">
        <f>HOUR(C426)</f>
        <v/>
      </c>
      <c r="F426" s="4" t="inlineStr">
        <is>
          <t>Female</t>
        </is>
      </c>
      <c r="G426" s="5" t="n">
        <v>64</v>
      </c>
      <c r="H426" s="4">
        <f>IF(G426&gt;=60, "Boomer", IF(G426&gt;=45, "Gen X", IF(G426&gt;=25, "Millennial", "Gen Z")))</f>
        <v/>
      </c>
      <c r="I426" s="4" t="inlineStr">
        <is>
          <t>Savings</t>
        </is>
      </c>
      <c r="J426" s="4" t="inlineStr">
        <is>
          <t>Groceries</t>
        </is>
      </c>
      <c r="K426" s="6" t="n">
        <v>5968.54</v>
      </c>
      <c r="L426" s="6" t="n">
        <v>46081.33</v>
      </c>
      <c r="M426" s="4" t="inlineStr">
        <is>
          <t>Branch Office</t>
        </is>
      </c>
      <c r="N426" s="4" t="inlineStr">
        <is>
          <t>N</t>
        </is>
      </c>
      <c r="O426" s="4">
        <f>TEXT(D426, "dddd")</f>
        <v/>
      </c>
      <c r="P426" s="4">
        <f>"Q"&amp;ROUNDUP(MONTH(D426)/3, 0)</f>
        <v/>
      </c>
    </row>
    <row r="427">
      <c r="A427" s="7" t="inlineStr">
        <is>
          <t>TXN100430</t>
        </is>
      </c>
      <c r="B427" s="7" t="inlineStr">
        <is>
          <t>CUST0430</t>
        </is>
      </c>
      <c r="C427" s="7" t="inlineStr">
        <is>
          <t>2026-06-01 00:21:00</t>
        </is>
      </c>
      <c r="D427" s="7">
        <f>TEXT(LEFT(C427,10),"YYYY-MM-DD")</f>
        <v/>
      </c>
      <c r="E427" s="8">
        <f>HOUR(C427)</f>
        <v/>
      </c>
      <c r="F427" s="7" t="inlineStr">
        <is>
          <t>Female</t>
        </is>
      </c>
      <c r="G427" s="8" t="n">
        <v>39</v>
      </c>
      <c r="H427" s="7">
        <f>IF(G427&gt;=60, "Boomer", IF(G427&gt;=45, "Gen X", IF(G427&gt;=25, "Millennial", "Gen Z")))</f>
        <v/>
      </c>
      <c r="I427" s="7" t="inlineStr">
        <is>
          <t>Checking</t>
        </is>
      </c>
      <c r="J427" s="7" t="inlineStr">
        <is>
          <t>Utilities</t>
        </is>
      </c>
      <c r="K427" s="9" t="n">
        <v>6867.3</v>
      </c>
      <c r="L427" s="9" t="n">
        <v>34400.18</v>
      </c>
      <c r="M427" s="7" t="inlineStr">
        <is>
          <t>Online Banking</t>
        </is>
      </c>
      <c r="N427" s="7" t="inlineStr">
        <is>
          <t>N</t>
        </is>
      </c>
      <c r="O427" s="7">
        <f>TEXT(D427, "dddd")</f>
        <v/>
      </c>
      <c r="P427" s="7">
        <f>"Q"&amp;ROUNDUP(MONTH(D427)/3, 0)</f>
        <v/>
      </c>
    </row>
    <row r="428">
      <c r="A428" s="4" t="inlineStr">
        <is>
          <t>TXN100431</t>
        </is>
      </c>
      <c r="B428" s="4" t="inlineStr">
        <is>
          <t>CUST0431</t>
        </is>
      </c>
      <c r="C428" s="4" t="inlineStr">
        <is>
          <t>2026-06-01 04:19:00</t>
        </is>
      </c>
      <c r="D428" s="4">
        <f>TEXT(LEFT(C428,10),"YYYY-MM-DD")</f>
        <v/>
      </c>
      <c r="E428" s="5">
        <f>HOUR(C428)</f>
        <v/>
      </c>
      <c r="F428" s="4" t="inlineStr">
        <is>
          <t>Unspecified</t>
        </is>
      </c>
      <c r="G428" s="5" t="n">
        <v>69</v>
      </c>
      <c r="H428" s="4">
        <f>IF(G428&gt;=60, "Boomer", IF(G428&gt;=45, "Gen X", IF(G428&gt;=25, "Millennial", "Gen Z")))</f>
        <v/>
      </c>
      <c r="I428" s="4" t="inlineStr">
        <is>
          <t>Checking</t>
        </is>
      </c>
      <c r="J428" s="4" t="inlineStr">
        <is>
          <t>Entertainment</t>
        </is>
      </c>
      <c r="K428" s="6" t="n">
        <v>5833.11</v>
      </c>
      <c r="L428" s="6" t="n">
        <v>30446.47</v>
      </c>
      <c r="M428" s="4" t="inlineStr">
        <is>
          <t>Mobile App</t>
        </is>
      </c>
      <c r="N428" s="4" t="inlineStr">
        <is>
          <t>N</t>
        </is>
      </c>
      <c r="O428" s="4">
        <f>TEXT(D428, "dddd")</f>
        <v/>
      </c>
      <c r="P428" s="4">
        <f>"Q"&amp;ROUNDUP(MONTH(D428)/3, 0)</f>
        <v/>
      </c>
    </row>
    <row r="429">
      <c r="A429" s="7" t="inlineStr">
        <is>
          <t>TXN100432</t>
        </is>
      </c>
      <c r="B429" s="7" t="inlineStr">
        <is>
          <t>CUST0432</t>
        </is>
      </c>
      <c r="C429" s="7" t="inlineStr">
        <is>
          <t>2026-06-01 06:28:00</t>
        </is>
      </c>
      <c r="D429" s="7">
        <f>TEXT(LEFT(C429,10),"YYYY-MM-DD")</f>
        <v/>
      </c>
      <c r="E429" s="8">
        <f>HOUR(C429)</f>
        <v/>
      </c>
      <c r="F429" s="7" t="inlineStr">
        <is>
          <t>Female</t>
        </is>
      </c>
      <c r="G429" s="8" t="n">
        <v>72</v>
      </c>
      <c r="H429" s="7">
        <f>IF(G429&gt;=60, "Boomer", IF(G429&gt;=45, "Gen X", IF(G429&gt;=25, "Millennial", "Gen Z")))</f>
        <v/>
      </c>
      <c r="I429" s="7" t="inlineStr">
        <is>
          <t>Checking</t>
        </is>
      </c>
      <c r="J429" s="7" t="inlineStr">
        <is>
          <t>Utilities</t>
        </is>
      </c>
      <c r="K429" s="9" t="n">
        <v>6078.35</v>
      </c>
      <c r="L429" s="9" t="n">
        <v>43425.85</v>
      </c>
      <c r="M429" s="7" t="inlineStr">
        <is>
          <t>Mobile App</t>
        </is>
      </c>
      <c r="N429" s="7" t="inlineStr">
        <is>
          <t>N</t>
        </is>
      </c>
      <c r="O429" s="7">
        <f>TEXT(D429, "dddd")</f>
        <v/>
      </c>
      <c r="P429" s="7">
        <f>"Q"&amp;ROUNDUP(MONTH(D429)/3, 0)</f>
        <v/>
      </c>
    </row>
    <row r="430">
      <c r="A430" s="4" t="inlineStr">
        <is>
          <t>TXN100433</t>
        </is>
      </c>
      <c r="B430" s="4" t="inlineStr">
        <is>
          <t>CUST0433</t>
        </is>
      </c>
      <c r="C430" s="4" t="inlineStr">
        <is>
          <t>2026-06-01 16:50:00</t>
        </is>
      </c>
      <c r="D430" s="4">
        <f>TEXT(LEFT(C430,10),"YYYY-MM-DD")</f>
        <v/>
      </c>
      <c r="E430" s="5">
        <f>HOUR(C430)</f>
        <v/>
      </c>
      <c r="F430" s="4" t="inlineStr">
        <is>
          <t>Male</t>
        </is>
      </c>
      <c r="G430" s="5" t="n">
        <v>24</v>
      </c>
      <c r="H430" s="4">
        <f>IF(G430&gt;=60, "Boomer", IF(G430&gt;=45, "Gen X", IF(G430&gt;=25, "Millennial", "Gen Z")))</f>
        <v/>
      </c>
      <c r="I430" s="4" t="inlineStr">
        <is>
          <t>Checking</t>
        </is>
      </c>
      <c r="J430" s="4" t="inlineStr">
        <is>
          <t>Travel</t>
        </is>
      </c>
      <c r="K430" s="6" t="n">
        <v>3233.05</v>
      </c>
      <c r="L430" s="6" t="n">
        <v>39135.56</v>
      </c>
      <c r="M430" s="4" t="inlineStr">
        <is>
          <t>Mobile App</t>
        </is>
      </c>
      <c r="N430" s="4" t="inlineStr">
        <is>
          <t>N</t>
        </is>
      </c>
      <c r="O430" s="4">
        <f>TEXT(D430, "dddd")</f>
        <v/>
      </c>
      <c r="P430" s="4">
        <f>"Q"&amp;ROUNDUP(MONTH(D430)/3, 0)</f>
        <v/>
      </c>
    </row>
    <row r="431">
      <c r="A431" s="7" t="inlineStr">
        <is>
          <t>TXN100434</t>
        </is>
      </c>
      <c r="B431" s="7" t="inlineStr">
        <is>
          <t>CUST0434</t>
        </is>
      </c>
      <c r="C431" s="7" t="inlineStr">
        <is>
          <t>2026-06-01 05:12:00</t>
        </is>
      </c>
      <c r="D431" s="7">
        <f>TEXT(LEFT(C431,10),"YYYY-MM-DD")</f>
        <v/>
      </c>
      <c r="E431" s="8">
        <f>HOUR(C431)</f>
        <v/>
      </c>
      <c r="F431" s="7" t="inlineStr">
        <is>
          <t>Female</t>
        </is>
      </c>
      <c r="G431" s="8" t="n">
        <v>73</v>
      </c>
      <c r="H431" s="7">
        <f>IF(G431&gt;=60, "Boomer", IF(G431&gt;=45, "Gen X", IF(G431&gt;=25, "Millennial", "Gen Z")))</f>
        <v/>
      </c>
      <c r="I431" s="7" t="inlineStr">
        <is>
          <t>Savings</t>
        </is>
      </c>
      <c r="J431" s="7" t="inlineStr">
        <is>
          <t>Groceries</t>
        </is>
      </c>
      <c r="K431" s="9" t="n">
        <v>274.24</v>
      </c>
      <c r="L431" s="9" t="n">
        <v>3002.68</v>
      </c>
      <c r="M431" s="7" t="inlineStr">
        <is>
          <t>Branch Office</t>
        </is>
      </c>
      <c r="N431" s="7" t="inlineStr">
        <is>
          <t>N</t>
        </is>
      </c>
      <c r="O431" s="7">
        <f>TEXT(D431, "dddd")</f>
        <v/>
      </c>
      <c r="P431" s="7">
        <f>"Q"&amp;ROUNDUP(MONTH(D431)/3, 0)</f>
        <v/>
      </c>
    </row>
    <row r="432">
      <c r="A432" s="4" t="inlineStr">
        <is>
          <t>TXN100435</t>
        </is>
      </c>
      <c r="B432" s="4" t="inlineStr">
        <is>
          <t>CUST0435</t>
        </is>
      </c>
      <c r="C432" s="4" t="inlineStr">
        <is>
          <t>2026-06-01 22:12:00</t>
        </is>
      </c>
      <c r="D432" s="4">
        <f>TEXT(LEFT(C432,10),"YYYY-MM-DD")</f>
        <v/>
      </c>
      <c r="E432" s="5">
        <f>HOUR(C432)</f>
        <v/>
      </c>
      <c r="F432" s="4" t="inlineStr">
        <is>
          <t>Female</t>
        </is>
      </c>
      <c r="G432" s="5" t="n">
        <v>43</v>
      </c>
      <c r="H432" s="4">
        <f>IF(G432&gt;=60, "Boomer", IF(G432&gt;=45, "Gen X", IF(G432&gt;=25, "Millennial", "Gen Z")))</f>
        <v/>
      </c>
      <c r="I432" s="4" t="inlineStr">
        <is>
          <t>Checking</t>
        </is>
      </c>
      <c r="J432" s="4" t="inlineStr">
        <is>
          <t>Travel</t>
        </is>
      </c>
      <c r="K432" s="6" t="n">
        <v>3181.57</v>
      </c>
      <c r="L432" s="6" t="n">
        <v>46192.14</v>
      </c>
      <c r="M432" s="4" t="inlineStr">
        <is>
          <t>Mobile App</t>
        </is>
      </c>
      <c r="N432" s="4" t="inlineStr">
        <is>
          <t>N</t>
        </is>
      </c>
      <c r="O432" s="4">
        <f>TEXT(D432, "dddd")</f>
        <v/>
      </c>
      <c r="P432" s="4">
        <f>"Q"&amp;ROUNDUP(MONTH(D432)/3, 0)</f>
        <v/>
      </c>
    </row>
    <row r="433">
      <c r="A433" s="7" t="inlineStr">
        <is>
          <t>TXN100436</t>
        </is>
      </c>
      <c r="B433" s="7" t="inlineStr">
        <is>
          <t>CUST0436</t>
        </is>
      </c>
      <c r="C433" s="7" t="inlineStr">
        <is>
          <t>2026-06-01 07:23:00</t>
        </is>
      </c>
      <c r="D433" s="7">
        <f>TEXT(LEFT(C433,10),"YYYY-MM-DD")</f>
        <v/>
      </c>
      <c r="E433" s="8">
        <f>HOUR(C433)</f>
        <v/>
      </c>
      <c r="F433" s="7" t="inlineStr">
        <is>
          <t>Unspecified</t>
        </is>
      </c>
      <c r="G433" s="8" t="n">
        <v>58</v>
      </c>
      <c r="H433" s="7">
        <f>IF(G433&gt;=60, "Boomer", IF(G433&gt;=45, "Gen X", IF(G433&gt;=25, "Millennial", "Gen Z")))</f>
        <v/>
      </c>
      <c r="I433" s="7" t="inlineStr">
        <is>
          <t>Checking</t>
        </is>
      </c>
      <c r="J433" s="7" t="inlineStr">
        <is>
          <t>Groceries</t>
        </is>
      </c>
      <c r="K433" s="9" t="n">
        <v>7684.56</v>
      </c>
      <c r="L433" s="9" t="n">
        <v>23991.82</v>
      </c>
      <c r="M433" s="7" t="inlineStr">
        <is>
          <t>Branch Office</t>
        </is>
      </c>
      <c r="N433" s="7" t="inlineStr">
        <is>
          <t>N</t>
        </is>
      </c>
      <c r="O433" s="7">
        <f>TEXT(D433, "dddd")</f>
        <v/>
      </c>
      <c r="P433" s="7">
        <f>"Q"&amp;ROUNDUP(MONTH(D433)/3, 0)</f>
        <v/>
      </c>
    </row>
    <row r="434">
      <c r="A434" s="4" t="inlineStr">
        <is>
          <t>TXN100437</t>
        </is>
      </c>
      <c r="B434" s="4" t="inlineStr">
        <is>
          <t>CUST0437</t>
        </is>
      </c>
      <c r="C434" s="4" t="inlineStr">
        <is>
          <t>2026-06-01 08:47:00</t>
        </is>
      </c>
      <c r="D434" s="4">
        <f>TEXT(LEFT(C434,10),"YYYY-MM-DD")</f>
        <v/>
      </c>
      <c r="E434" s="5">
        <f>HOUR(C434)</f>
        <v/>
      </c>
      <c r="F434" s="4" t="inlineStr">
        <is>
          <t>Male</t>
        </is>
      </c>
      <c r="G434" s="5" t="n">
        <v>38</v>
      </c>
      <c r="H434" s="4">
        <f>IF(G434&gt;=60, "Boomer", IF(G434&gt;=45, "Gen X", IF(G434&gt;=25, "Millennial", "Gen Z")))</f>
        <v/>
      </c>
      <c r="I434" s="4" t="inlineStr">
        <is>
          <t>Savings</t>
        </is>
      </c>
      <c r="J434" s="4" t="inlineStr">
        <is>
          <t>Utilities</t>
        </is>
      </c>
      <c r="K434" s="6" t="n">
        <v>406.71</v>
      </c>
      <c r="L434" s="6" t="n">
        <v>42764.16</v>
      </c>
      <c r="M434" s="4" t="inlineStr">
        <is>
          <t>Online Banking</t>
        </is>
      </c>
      <c r="N434" s="4" t="inlineStr">
        <is>
          <t>N</t>
        </is>
      </c>
      <c r="O434" s="4">
        <f>TEXT(D434, "dddd")</f>
        <v/>
      </c>
      <c r="P434" s="4">
        <f>"Q"&amp;ROUNDUP(MONTH(D434)/3, 0)</f>
        <v/>
      </c>
    </row>
    <row r="435">
      <c r="A435" s="7" t="inlineStr">
        <is>
          <t>TXN100438</t>
        </is>
      </c>
      <c r="B435" s="7" t="inlineStr">
        <is>
          <t>CUST0438</t>
        </is>
      </c>
      <c r="C435" s="7" t="inlineStr">
        <is>
          <t>2026-06-01 07:41:00</t>
        </is>
      </c>
      <c r="D435" s="7">
        <f>TEXT(LEFT(C435,10),"YYYY-MM-DD")</f>
        <v/>
      </c>
      <c r="E435" s="8">
        <f>HOUR(C435)</f>
        <v/>
      </c>
      <c r="F435" s="7" t="inlineStr">
        <is>
          <t>Female</t>
        </is>
      </c>
      <c r="G435" s="8" t="n">
        <v>63</v>
      </c>
      <c r="H435" s="7">
        <f>IF(G435&gt;=60, "Boomer", IF(G435&gt;=45, "Gen X", IF(G435&gt;=25, "Millennial", "Gen Z")))</f>
        <v/>
      </c>
      <c r="I435" s="7" t="inlineStr">
        <is>
          <t>Savings</t>
        </is>
      </c>
      <c r="J435" s="7" t="inlineStr">
        <is>
          <t>Entertainment</t>
        </is>
      </c>
      <c r="K435" s="9" t="n">
        <v>5216.18</v>
      </c>
      <c r="L435" s="9" t="n">
        <v>25907.42</v>
      </c>
      <c r="M435" s="7" t="inlineStr">
        <is>
          <t>Mobile App</t>
        </is>
      </c>
      <c r="N435" s="7" t="inlineStr">
        <is>
          <t>N</t>
        </is>
      </c>
      <c r="O435" s="7">
        <f>TEXT(D435, "dddd")</f>
        <v/>
      </c>
      <c r="P435" s="7">
        <f>"Q"&amp;ROUNDUP(MONTH(D435)/3, 0)</f>
        <v/>
      </c>
    </row>
    <row r="436">
      <c r="A436" s="4" t="inlineStr">
        <is>
          <t>TXN100439</t>
        </is>
      </c>
      <c r="B436" s="4" t="inlineStr">
        <is>
          <t>CUST0439</t>
        </is>
      </c>
      <c r="C436" s="4" t="inlineStr">
        <is>
          <t>2026-06-01 15:58:00</t>
        </is>
      </c>
      <c r="D436" s="4">
        <f>TEXT(LEFT(C436,10),"YYYY-MM-DD")</f>
        <v/>
      </c>
      <c r="E436" s="5">
        <f>HOUR(C436)</f>
        <v/>
      </c>
      <c r="F436" s="4" t="inlineStr">
        <is>
          <t>Male</t>
        </is>
      </c>
      <c r="G436" s="5" t="n">
        <v>61</v>
      </c>
      <c r="H436" s="4">
        <f>IF(G436&gt;=60, "Boomer", IF(G436&gt;=45, "Gen X", IF(G436&gt;=25, "Millennial", "Gen Z")))</f>
        <v/>
      </c>
      <c r="I436" s="4" t="inlineStr">
        <is>
          <t>Savings</t>
        </is>
      </c>
      <c r="J436" s="4" t="inlineStr">
        <is>
          <t>Travel</t>
        </is>
      </c>
      <c r="K436" s="6" t="n">
        <v>6408.91</v>
      </c>
      <c r="L436" s="6" t="n">
        <v>11576.62</v>
      </c>
      <c r="M436" s="4" t="inlineStr">
        <is>
          <t>Branch Office</t>
        </is>
      </c>
      <c r="N436" s="4" t="inlineStr">
        <is>
          <t>N</t>
        </is>
      </c>
      <c r="O436" s="4">
        <f>TEXT(D436, "dddd")</f>
        <v/>
      </c>
      <c r="P436" s="4">
        <f>"Q"&amp;ROUNDUP(MONTH(D436)/3, 0)</f>
        <v/>
      </c>
    </row>
    <row r="437">
      <c r="A437" s="7" t="inlineStr">
        <is>
          <t>TXN100440</t>
        </is>
      </c>
      <c r="B437" s="7" t="inlineStr">
        <is>
          <t>CUST0440</t>
        </is>
      </c>
      <c r="C437" s="7" t="inlineStr">
        <is>
          <t>2026-06-01 22:45:00</t>
        </is>
      </c>
      <c r="D437" s="7">
        <f>TEXT(LEFT(C437,10),"YYYY-MM-DD")</f>
        <v/>
      </c>
      <c r="E437" s="8">
        <f>HOUR(C437)</f>
        <v/>
      </c>
      <c r="F437" s="7" t="inlineStr">
        <is>
          <t>Female</t>
        </is>
      </c>
      <c r="G437" s="8" t="n">
        <v>47</v>
      </c>
      <c r="H437" s="7">
        <f>IF(G437&gt;=60, "Boomer", IF(G437&gt;=45, "Gen X", IF(G437&gt;=25, "Millennial", "Gen Z")))</f>
        <v/>
      </c>
      <c r="I437" s="7" t="inlineStr">
        <is>
          <t>Checking</t>
        </is>
      </c>
      <c r="J437" s="7" t="inlineStr">
        <is>
          <t>Entertainment</t>
        </is>
      </c>
      <c r="K437" s="9" t="n">
        <v>3677.39</v>
      </c>
      <c r="L437" s="9" t="n">
        <v>11301.35</v>
      </c>
      <c r="M437" s="7" t="inlineStr">
        <is>
          <t>Branch Office</t>
        </is>
      </c>
      <c r="N437" s="7" t="inlineStr">
        <is>
          <t>N</t>
        </is>
      </c>
      <c r="O437" s="7">
        <f>TEXT(D437, "dddd")</f>
        <v/>
      </c>
      <c r="P437" s="7">
        <f>"Q"&amp;ROUNDUP(MONTH(D437)/3, 0)</f>
        <v/>
      </c>
    </row>
    <row r="438">
      <c r="A438" s="4" t="inlineStr">
        <is>
          <t>TXN100441</t>
        </is>
      </c>
      <c r="B438" s="4" t="inlineStr">
        <is>
          <t>CUST0441</t>
        </is>
      </c>
      <c r="C438" s="4" t="inlineStr">
        <is>
          <t>2026-06-01 21:33:00</t>
        </is>
      </c>
      <c r="D438" s="4">
        <f>TEXT(LEFT(C438,10),"YYYY-MM-DD")</f>
        <v/>
      </c>
      <c r="E438" s="5">
        <f>HOUR(C438)</f>
        <v/>
      </c>
      <c r="F438" s="4" t="inlineStr">
        <is>
          <t>Unspecified</t>
        </is>
      </c>
      <c r="G438" s="5" t="n">
        <v>57</v>
      </c>
      <c r="H438" s="4">
        <f>IF(G438&gt;=60, "Boomer", IF(G438&gt;=45, "Gen X", IF(G438&gt;=25, "Millennial", "Gen Z")))</f>
        <v/>
      </c>
      <c r="I438" s="4" t="inlineStr">
        <is>
          <t>Savings</t>
        </is>
      </c>
      <c r="J438" s="4" t="inlineStr">
        <is>
          <t>Groceries</t>
        </is>
      </c>
      <c r="K438" s="6" t="n">
        <v>4096.99</v>
      </c>
      <c r="L438" s="6" t="n">
        <v>33286.59</v>
      </c>
      <c r="M438" s="4" t="inlineStr">
        <is>
          <t>Branch Office</t>
        </is>
      </c>
      <c r="N438" s="4" t="inlineStr">
        <is>
          <t>N</t>
        </is>
      </c>
      <c r="O438" s="4">
        <f>TEXT(D438, "dddd")</f>
        <v/>
      </c>
      <c r="P438" s="4">
        <f>"Q"&amp;ROUNDUP(MONTH(D438)/3, 0)</f>
        <v/>
      </c>
    </row>
    <row r="439">
      <c r="A439" s="7" t="inlineStr">
        <is>
          <t>TXN100442</t>
        </is>
      </c>
      <c r="B439" s="7" t="inlineStr">
        <is>
          <t>CUST0442</t>
        </is>
      </c>
      <c r="C439" s="7" t="inlineStr">
        <is>
          <t>2026-06-01 17:41:00</t>
        </is>
      </c>
      <c r="D439" s="7">
        <f>TEXT(LEFT(C439,10),"YYYY-MM-DD")</f>
        <v/>
      </c>
      <c r="E439" s="8">
        <f>HOUR(C439)</f>
        <v/>
      </c>
      <c r="F439" s="7" t="inlineStr">
        <is>
          <t>Female</t>
        </is>
      </c>
      <c r="G439" s="8" t="n">
        <v>39</v>
      </c>
      <c r="H439" s="7">
        <f>IF(G439&gt;=60, "Boomer", IF(G439&gt;=45, "Gen X", IF(G439&gt;=25, "Millennial", "Gen Z")))</f>
        <v/>
      </c>
      <c r="I439" s="7" t="inlineStr">
        <is>
          <t>Investment</t>
        </is>
      </c>
      <c r="J439" s="7" t="inlineStr">
        <is>
          <t>Groceries</t>
        </is>
      </c>
      <c r="K439" s="9" t="n">
        <v>3859.09</v>
      </c>
      <c r="L439" s="9" t="n">
        <v>17146.04</v>
      </c>
      <c r="M439" s="7" t="inlineStr">
        <is>
          <t>Branch Office</t>
        </is>
      </c>
      <c r="N439" s="7" t="inlineStr">
        <is>
          <t>N</t>
        </is>
      </c>
      <c r="O439" s="7">
        <f>TEXT(D439, "dddd")</f>
        <v/>
      </c>
      <c r="P439" s="7">
        <f>"Q"&amp;ROUNDUP(MONTH(D439)/3, 0)</f>
        <v/>
      </c>
    </row>
    <row r="440">
      <c r="A440" s="4" t="inlineStr">
        <is>
          <t>TXN100443</t>
        </is>
      </c>
      <c r="B440" s="4" t="inlineStr">
        <is>
          <t>CUST0443</t>
        </is>
      </c>
      <c r="C440" s="4" t="inlineStr">
        <is>
          <t>2026-06-01 20:20:00</t>
        </is>
      </c>
      <c r="D440" s="4">
        <f>TEXT(LEFT(C440,10),"YYYY-MM-DD")</f>
        <v/>
      </c>
      <c r="E440" s="5">
        <f>HOUR(C440)</f>
        <v/>
      </c>
      <c r="F440" s="4" t="inlineStr">
        <is>
          <t>Female</t>
        </is>
      </c>
      <c r="G440" s="5" t="n">
        <v>36</v>
      </c>
      <c r="H440" s="4">
        <f>IF(G440&gt;=60, "Boomer", IF(G440&gt;=45, "Gen X", IF(G440&gt;=25, "Millennial", "Gen Z")))</f>
        <v/>
      </c>
      <c r="I440" s="4" t="inlineStr">
        <is>
          <t>Investment</t>
        </is>
      </c>
      <c r="J440" s="4" t="inlineStr">
        <is>
          <t>Entertainment</t>
        </is>
      </c>
      <c r="K440" s="6" t="n">
        <v>1515</v>
      </c>
      <c r="L440" s="6" t="n">
        <v>26106.03</v>
      </c>
      <c r="M440" s="4" t="inlineStr">
        <is>
          <t>Online Banking</t>
        </is>
      </c>
      <c r="N440" s="4" t="inlineStr">
        <is>
          <t>N</t>
        </is>
      </c>
      <c r="O440" s="4">
        <f>TEXT(D440, "dddd")</f>
        <v/>
      </c>
      <c r="P440" s="4">
        <f>"Q"&amp;ROUNDUP(MONTH(D440)/3, 0)</f>
        <v/>
      </c>
    </row>
    <row r="441">
      <c r="A441" s="7" t="inlineStr">
        <is>
          <t>TXN100444</t>
        </is>
      </c>
      <c r="B441" s="7" t="inlineStr">
        <is>
          <t>CUST0444</t>
        </is>
      </c>
      <c r="C441" s="7" t="inlineStr">
        <is>
          <t>2026-06-01 01:51:00</t>
        </is>
      </c>
      <c r="D441" s="7">
        <f>TEXT(LEFT(C441,10),"YYYY-MM-DD")</f>
        <v/>
      </c>
      <c r="E441" s="8">
        <f>HOUR(C441)</f>
        <v/>
      </c>
      <c r="F441" s="7" t="inlineStr">
        <is>
          <t>Unspecified</t>
        </is>
      </c>
      <c r="G441" s="8" t="n">
        <v>62</v>
      </c>
      <c r="H441" s="7">
        <f>IF(G441&gt;=60, "Boomer", IF(G441&gt;=45, "Gen X", IF(G441&gt;=25, "Millennial", "Gen Z")))</f>
        <v/>
      </c>
      <c r="I441" s="7" t="inlineStr">
        <is>
          <t>Checking</t>
        </is>
      </c>
      <c r="J441" s="7" t="inlineStr">
        <is>
          <t>Groceries</t>
        </is>
      </c>
      <c r="K441" s="9" t="n">
        <v>5773.05</v>
      </c>
      <c r="L441" s="9" t="n">
        <v>32942.33</v>
      </c>
      <c r="M441" s="7" t="inlineStr">
        <is>
          <t>Branch Office</t>
        </is>
      </c>
      <c r="N441" s="7" t="inlineStr">
        <is>
          <t>N</t>
        </is>
      </c>
      <c r="O441" s="7">
        <f>TEXT(D441, "dddd")</f>
        <v/>
      </c>
      <c r="P441" s="7">
        <f>"Q"&amp;ROUNDUP(MONTH(D441)/3, 0)</f>
        <v/>
      </c>
    </row>
    <row r="442">
      <c r="A442" s="4" t="inlineStr">
        <is>
          <t>TXN100445</t>
        </is>
      </c>
      <c r="B442" s="4" t="inlineStr">
        <is>
          <t>CUST0445</t>
        </is>
      </c>
      <c r="C442" s="4" t="inlineStr">
        <is>
          <t>2026-06-01 08:58:00</t>
        </is>
      </c>
      <c r="D442" s="4">
        <f>TEXT(LEFT(C442,10),"YYYY-MM-DD")</f>
        <v/>
      </c>
      <c r="E442" s="5">
        <f>HOUR(C442)</f>
        <v/>
      </c>
      <c r="F442" s="4" t="inlineStr">
        <is>
          <t>Unspecified</t>
        </is>
      </c>
      <c r="G442" s="5" t="n">
        <v>45</v>
      </c>
      <c r="H442" s="4">
        <f>IF(G442&gt;=60, "Boomer", IF(G442&gt;=45, "Gen X", IF(G442&gt;=25, "Millennial", "Gen Z")))</f>
        <v/>
      </c>
      <c r="I442" s="4" t="inlineStr">
        <is>
          <t>Checking</t>
        </is>
      </c>
      <c r="J442" s="4" t="inlineStr">
        <is>
          <t>Groceries</t>
        </is>
      </c>
      <c r="K442" s="6" t="n">
        <v>4668.36</v>
      </c>
      <c r="L442" s="6" t="n">
        <v>49740.31</v>
      </c>
      <c r="M442" s="4" t="inlineStr">
        <is>
          <t>Online Banking</t>
        </is>
      </c>
      <c r="N442" s="4" t="inlineStr">
        <is>
          <t>N</t>
        </is>
      </c>
      <c r="O442" s="4">
        <f>TEXT(D442, "dddd")</f>
        <v/>
      </c>
      <c r="P442" s="4">
        <f>"Q"&amp;ROUNDUP(MONTH(D442)/3, 0)</f>
        <v/>
      </c>
    </row>
    <row r="443">
      <c r="A443" s="7" t="inlineStr">
        <is>
          <t>TXN100446</t>
        </is>
      </c>
      <c r="B443" s="7" t="inlineStr">
        <is>
          <t>CUST0446</t>
        </is>
      </c>
      <c r="C443" s="7" t="inlineStr">
        <is>
          <t>2026-06-01 10:46:00</t>
        </is>
      </c>
      <c r="D443" s="7">
        <f>TEXT(LEFT(C443,10),"YYYY-MM-DD")</f>
        <v/>
      </c>
      <c r="E443" s="8">
        <f>HOUR(C443)</f>
        <v/>
      </c>
      <c r="F443" s="7" t="inlineStr">
        <is>
          <t>Female</t>
        </is>
      </c>
      <c r="G443" s="8" t="n">
        <v>63</v>
      </c>
      <c r="H443" s="7">
        <f>IF(G443&gt;=60, "Boomer", IF(G443&gt;=45, "Gen X", IF(G443&gt;=25, "Millennial", "Gen Z")))</f>
        <v/>
      </c>
      <c r="I443" s="7" t="inlineStr">
        <is>
          <t>Investment</t>
        </is>
      </c>
      <c r="J443" s="7" t="inlineStr">
        <is>
          <t>Utilities</t>
        </is>
      </c>
      <c r="K443" s="9" t="n">
        <v>7253.15</v>
      </c>
      <c r="L443" s="9" t="n">
        <v>33757.49</v>
      </c>
      <c r="M443" s="7" t="inlineStr">
        <is>
          <t>Branch Office</t>
        </is>
      </c>
      <c r="N443" s="7" t="inlineStr">
        <is>
          <t>Y</t>
        </is>
      </c>
      <c r="O443" s="7">
        <f>TEXT(D443, "dddd")</f>
        <v/>
      </c>
      <c r="P443" s="7">
        <f>"Q"&amp;ROUNDUP(MONTH(D443)/3, 0)</f>
        <v/>
      </c>
    </row>
    <row r="444">
      <c r="A444" s="4" t="inlineStr">
        <is>
          <t>TXN100447</t>
        </is>
      </c>
      <c r="B444" s="4" t="inlineStr">
        <is>
          <t>CUST0447</t>
        </is>
      </c>
      <c r="C444" s="4" t="inlineStr">
        <is>
          <t>2026-06-01 21:56:00</t>
        </is>
      </c>
      <c r="D444" s="4">
        <f>TEXT(LEFT(C444,10),"YYYY-MM-DD")</f>
        <v/>
      </c>
      <c r="E444" s="5">
        <f>HOUR(C444)</f>
        <v/>
      </c>
      <c r="F444" s="4" t="inlineStr">
        <is>
          <t>Male</t>
        </is>
      </c>
      <c r="G444" s="5" t="n">
        <v>38</v>
      </c>
      <c r="H444" s="4">
        <f>IF(G444&gt;=60, "Boomer", IF(G444&gt;=45, "Gen X", IF(G444&gt;=25, "Millennial", "Gen Z")))</f>
        <v/>
      </c>
      <c r="I444" s="4" t="inlineStr">
        <is>
          <t>Savings</t>
        </is>
      </c>
      <c r="J444" s="4" t="inlineStr">
        <is>
          <t>Utilities</t>
        </is>
      </c>
      <c r="K444" s="6" t="n">
        <v>1032.27</v>
      </c>
      <c r="L444" s="6" t="n">
        <v>13303.27</v>
      </c>
      <c r="M444" s="4" t="inlineStr">
        <is>
          <t>Online Banking</t>
        </is>
      </c>
      <c r="N444" s="4" t="inlineStr">
        <is>
          <t>N</t>
        </is>
      </c>
      <c r="O444" s="4">
        <f>TEXT(D444, "dddd")</f>
        <v/>
      </c>
      <c r="P444" s="4">
        <f>"Q"&amp;ROUNDUP(MONTH(D444)/3, 0)</f>
        <v/>
      </c>
    </row>
    <row r="445">
      <c r="A445" s="7" t="inlineStr">
        <is>
          <t>TXN100448</t>
        </is>
      </c>
      <c r="B445" s="7" t="inlineStr">
        <is>
          <t>CUST0448</t>
        </is>
      </c>
      <c r="C445" s="7" t="inlineStr">
        <is>
          <t>2026-06-01 21:57:00</t>
        </is>
      </c>
      <c r="D445" s="7">
        <f>TEXT(LEFT(C445,10),"YYYY-MM-DD")</f>
        <v/>
      </c>
      <c r="E445" s="8">
        <f>HOUR(C445)</f>
        <v/>
      </c>
      <c r="F445" s="7" t="inlineStr">
        <is>
          <t>Female</t>
        </is>
      </c>
      <c r="G445" s="8" t="n">
        <v>61</v>
      </c>
      <c r="H445" s="7">
        <f>IF(G445&gt;=60, "Boomer", IF(G445&gt;=45, "Gen X", IF(G445&gt;=25, "Millennial", "Gen Z")))</f>
        <v/>
      </c>
      <c r="I445" s="7" t="inlineStr">
        <is>
          <t>Savings</t>
        </is>
      </c>
      <c r="J445" s="7" t="inlineStr">
        <is>
          <t>Groceries</t>
        </is>
      </c>
      <c r="K445" s="9" t="n">
        <v>2848.71</v>
      </c>
      <c r="L445" s="9" t="n">
        <v>37338.39</v>
      </c>
      <c r="M445" s="7" t="inlineStr">
        <is>
          <t>Branch Office</t>
        </is>
      </c>
      <c r="N445" s="7" t="inlineStr">
        <is>
          <t>N</t>
        </is>
      </c>
      <c r="O445" s="7">
        <f>TEXT(D445, "dddd")</f>
        <v/>
      </c>
      <c r="P445" s="7">
        <f>"Q"&amp;ROUNDUP(MONTH(D445)/3, 0)</f>
        <v/>
      </c>
    </row>
    <row r="446">
      <c r="A446" s="4" t="inlineStr">
        <is>
          <t>TXN100449</t>
        </is>
      </c>
      <c r="B446" s="4" t="inlineStr">
        <is>
          <t>CUST0449</t>
        </is>
      </c>
      <c r="C446" s="4" t="inlineStr">
        <is>
          <t>2026-06-01 13:50:00</t>
        </is>
      </c>
      <c r="D446" s="4">
        <f>TEXT(LEFT(C446,10),"YYYY-MM-DD")</f>
        <v/>
      </c>
      <c r="E446" s="5">
        <f>HOUR(C446)</f>
        <v/>
      </c>
      <c r="F446" s="4" t="inlineStr">
        <is>
          <t>Female</t>
        </is>
      </c>
      <c r="G446" s="5" t="n">
        <v>43</v>
      </c>
      <c r="H446" s="4">
        <f>IF(G446&gt;=60, "Boomer", IF(G446&gt;=45, "Gen X", IF(G446&gt;=25, "Millennial", "Gen Z")))</f>
        <v/>
      </c>
      <c r="I446" s="4" t="inlineStr">
        <is>
          <t>Checking</t>
        </is>
      </c>
      <c r="J446" s="4" t="inlineStr">
        <is>
          <t>Travel</t>
        </is>
      </c>
      <c r="K446" s="6" t="n">
        <v>2359.47</v>
      </c>
      <c r="L446" s="6" t="n">
        <v>42635.09</v>
      </c>
      <c r="M446" s="4" t="inlineStr">
        <is>
          <t>ATM</t>
        </is>
      </c>
      <c r="N446" s="4" t="inlineStr">
        <is>
          <t>N</t>
        </is>
      </c>
      <c r="O446" s="4">
        <f>TEXT(D446, "dddd")</f>
        <v/>
      </c>
      <c r="P446" s="4">
        <f>"Q"&amp;ROUNDUP(MONTH(D446)/3, 0)</f>
        <v/>
      </c>
    </row>
    <row r="447">
      <c r="A447" s="7" t="inlineStr">
        <is>
          <t>TXN100450</t>
        </is>
      </c>
      <c r="B447" s="7" t="inlineStr">
        <is>
          <t>CUST0450</t>
        </is>
      </c>
      <c r="C447" s="7" t="inlineStr">
        <is>
          <t>2026-06-01 01:55:00</t>
        </is>
      </c>
      <c r="D447" s="7">
        <f>TEXT(LEFT(C447,10),"YYYY-MM-DD")</f>
        <v/>
      </c>
      <c r="E447" s="8">
        <f>HOUR(C447)</f>
        <v/>
      </c>
      <c r="F447" s="7" t="inlineStr">
        <is>
          <t>Male</t>
        </is>
      </c>
      <c r="G447" s="8" t="n">
        <v>50</v>
      </c>
      <c r="H447" s="7">
        <f>IF(G447&gt;=60, "Boomer", IF(G447&gt;=45, "Gen X", IF(G447&gt;=25, "Millennial", "Gen Z")))</f>
        <v/>
      </c>
      <c r="I447" s="7" t="inlineStr">
        <is>
          <t>Savings</t>
        </is>
      </c>
      <c r="J447" s="7" t="inlineStr">
        <is>
          <t>Travel</t>
        </is>
      </c>
      <c r="K447" s="9" t="n">
        <v>967.33</v>
      </c>
      <c r="L447" s="9" t="n">
        <v>34194.54</v>
      </c>
      <c r="M447" s="7" t="inlineStr">
        <is>
          <t>Branch Office</t>
        </is>
      </c>
      <c r="N447" s="7" t="inlineStr">
        <is>
          <t>N</t>
        </is>
      </c>
      <c r="O447" s="7">
        <f>TEXT(D447, "dddd")</f>
        <v/>
      </c>
      <c r="P447" s="7">
        <f>"Q"&amp;ROUNDUP(MONTH(D447)/3, 0)</f>
        <v/>
      </c>
    </row>
    <row r="448">
      <c r="A448" s="4" t="inlineStr">
        <is>
          <t>TXN100451</t>
        </is>
      </c>
      <c r="B448" s="4" t="inlineStr">
        <is>
          <t>CUST0451</t>
        </is>
      </c>
      <c r="C448" s="4" t="inlineStr">
        <is>
          <t>2026-06-01 13:03:00</t>
        </is>
      </c>
      <c r="D448" s="4">
        <f>TEXT(LEFT(C448,10),"YYYY-MM-DD")</f>
        <v/>
      </c>
      <c r="E448" s="5">
        <f>HOUR(C448)</f>
        <v/>
      </c>
      <c r="F448" s="4" t="inlineStr">
        <is>
          <t>Male</t>
        </is>
      </c>
      <c r="G448" s="5" t="n">
        <v>28</v>
      </c>
      <c r="H448" s="4">
        <f>IF(G448&gt;=60, "Boomer", IF(G448&gt;=45, "Gen X", IF(G448&gt;=25, "Millennial", "Gen Z")))</f>
        <v/>
      </c>
      <c r="I448" s="4" t="inlineStr">
        <is>
          <t>Savings</t>
        </is>
      </c>
      <c r="J448" s="4" t="inlineStr">
        <is>
          <t>Entertainment</t>
        </is>
      </c>
      <c r="K448" s="6" t="n">
        <v>3279.44</v>
      </c>
      <c r="L448" s="6" t="n">
        <v>28685.48</v>
      </c>
      <c r="M448" s="4" t="inlineStr">
        <is>
          <t>ATM</t>
        </is>
      </c>
      <c r="N448" s="4" t="inlineStr">
        <is>
          <t>N</t>
        </is>
      </c>
      <c r="O448" s="4">
        <f>TEXT(D448, "dddd")</f>
        <v/>
      </c>
      <c r="P448" s="4">
        <f>"Q"&amp;ROUNDUP(MONTH(D448)/3, 0)</f>
        <v/>
      </c>
    </row>
    <row r="449">
      <c r="A449" s="7" t="inlineStr">
        <is>
          <t>TXN100452</t>
        </is>
      </c>
      <c r="B449" s="7" t="inlineStr">
        <is>
          <t>CUST0452</t>
        </is>
      </c>
      <c r="C449" s="7" t="inlineStr">
        <is>
          <t>2026-06-01 04:20:00</t>
        </is>
      </c>
      <c r="D449" s="7">
        <f>TEXT(LEFT(C449,10),"YYYY-MM-DD")</f>
        <v/>
      </c>
      <c r="E449" s="8">
        <f>HOUR(C449)</f>
        <v/>
      </c>
      <c r="F449" s="7" t="inlineStr">
        <is>
          <t>Male</t>
        </is>
      </c>
      <c r="G449" s="8" t="n">
        <v>69</v>
      </c>
      <c r="H449" s="7">
        <f>IF(G449&gt;=60, "Boomer", IF(G449&gt;=45, "Gen X", IF(G449&gt;=25, "Millennial", "Gen Z")))</f>
        <v/>
      </c>
      <c r="I449" s="7" t="inlineStr">
        <is>
          <t>Savings</t>
        </is>
      </c>
      <c r="J449" s="7" t="inlineStr">
        <is>
          <t>Utilities</t>
        </is>
      </c>
      <c r="K449" s="9" t="n">
        <v>2667.71</v>
      </c>
      <c r="L449" s="9" t="n">
        <v>49338.7</v>
      </c>
      <c r="M449" s="7" t="inlineStr">
        <is>
          <t>Branch Office</t>
        </is>
      </c>
      <c r="N449" s="7" t="inlineStr">
        <is>
          <t>N</t>
        </is>
      </c>
      <c r="O449" s="7">
        <f>TEXT(D449, "dddd")</f>
        <v/>
      </c>
      <c r="P449" s="7">
        <f>"Q"&amp;ROUNDUP(MONTH(D449)/3, 0)</f>
        <v/>
      </c>
    </row>
    <row r="450">
      <c r="A450" s="4" t="inlineStr">
        <is>
          <t>TXN100453</t>
        </is>
      </c>
      <c r="B450" s="4" t="inlineStr">
        <is>
          <t>CUST0453</t>
        </is>
      </c>
      <c r="C450" s="4" t="inlineStr">
        <is>
          <t>2026-06-01 20:03:00</t>
        </is>
      </c>
      <c r="D450" s="4">
        <f>TEXT(LEFT(C450,10),"YYYY-MM-DD")</f>
        <v/>
      </c>
      <c r="E450" s="5">
        <f>HOUR(C450)</f>
        <v/>
      </c>
      <c r="F450" s="4" t="inlineStr">
        <is>
          <t>Male</t>
        </is>
      </c>
      <c r="G450" s="5" t="n">
        <v>48</v>
      </c>
      <c r="H450" s="4">
        <f>IF(G450&gt;=60, "Boomer", IF(G450&gt;=45, "Gen X", IF(G450&gt;=25, "Millennial", "Gen Z")))</f>
        <v/>
      </c>
      <c r="I450" s="4" t="inlineStr">
        <is>
          <t>Checking</t>
        </is>
      </c>
      <c r="J450" s="4" t="inlineStr">
        <is>
          <t>Groceries</t>
        </is>
      </c>
      <c r="K450" s="6" t="n">
        <v>6091.93</v>
      </c>
      <c r="L450" s="6" t="n">
        <v>8845.98</v>
      </c>
      <c r="M450" s="4" t="inlineStr">
        <is>
          <t>Online Banking</t>
        </is>
      </c>
      <c r="N450" s="4" t="inlineStr">
        <is>
          <t>N</t>
        </is>
      </c>
      <c r="O450" s="4">
        <f>TEXT(D450, "dddd")</f>
        <v/>
      </c>
      <c r="P450" s="4">
        <f>"Q"&amp;ROUNDUP(MONTH(D450)/3, 0)</f>
        <v/>
      </c>
    </row>
    <row r="451">
      <c r="A451" s="7" t="inlineStr">
        <is>
          <t>TXN100454</t>
        </is>
      </c>
      <c r="B451" s="7" t="inlineStr">
        <is>
          <t>CUST0454</t>
        </is>
      </c>
      <c r="C451" s="7" t="inlineStr">
        <is>
          <t>2026-06-01 15:50:00</t>
        </is>
      </c>
      <c r="D451" s="7">
        <f>TEXT(LEFT(C451,10),"YYYY-MM-DD")</f>
        <v/>
      </c>
      <c r="E451" s="8">
        <f>HOUR(C451)</f>
        <v/>
      </c>
      <c r="F451" s="7" t="inlineStr">
        <is>
          <t>Male</t>
        </is>
      </c>
      <c r="G451" s="8" t="n">
        <v>28</v>
      </c>
      <c r="H451" s="7">
        <f>IF(G451&gt;=60, "Boomer", IF(G451&gt;=45, "Gen X", IF(G451&gt;=25, "Millennial", "Gen Z")))</f>
        <v/>
      </c>
      <c r="I451" s="7" t="inlineStr">
        <is>
          <t>Investment</t>
        </is>
      </c>
      <c r="J451" s="7" t="inlineStr">
        <is>
          <t>Utilities</t>
        </is>
      </c>
      <c r="K451" s="9" t="n">
        <v>5071.57</v>
      </c>
      <c r="L451" s="9" t="n">
        <v>20467.98</v>
      </c>
      <c r="M451" s="7" t="inlineStr">
        <is>
          <t>ATM</t>
        </is>
      </c>
      <c r="N451" s="7" t="inlineStr">
        <is>
          <t>N</t>
        </is>
      </c>
      <c r="O451" s="7">
        <f>TEXT(D451, "dddd")</f>
        <v/>
      </c>
      <c r="P451" s="7">
        <f>"Q"&amp;ROUNDUP(MONTH(D451)/3, 0)</f>
        <v/>
      </c>
    </row>
    <row r="452">
      <c r="A452" s="4" t="inlineStr">
        <is>
          <t>TXN100455</t>
        </is>
      </c>
      <c r="B452" s="4" t="inlineStr">
        <is>
          <t>CUST0455</t>
        </is>
      </c>
      <c r="C452" s="4" t="inlineStr">
        <is>
          <t>2026-06-01 12:00:00</t>
        </is>
      </c>
      <c r="D452" s="4">
        <f>TEXT(LEFT(C452,10),"YYYY-MM-DD")</f>
        <v/>
      </c>
      <c r="E452" s="5">
        <f>HOUR(C452)</f>
        <v/>
      </c>
      <c r="F452" s="4" t="inlineStr">
        <is>
          <t>Male</t>
        </is>
      </c>
      <c r="G452" s="5" t="n">
        <v>54</v>
      </c>
      <c r="H452" s="4">
        <f>IF(G452&gt;=60, "Boomer", IF(G452&gt;=45, "Gen X", IF(G452&gt;=25, "Millennial", "Gen Z")))</f>
        <v/>
      </c>
      <c r="I452" s="4" t="inlineStr">
        <is>
          <t>Savings</t>
        </is>
      </c>
      <c r="J452" s="4" t="inlineStr">
        <is>
          <t>Entertainment</t>
        </is>
      </c>
      <c r="K452" s="6" t="n">
        <v>7601.05</v>
      </c>
      <c r="L452" s="6" t="n">
        <v>44654.32</v>
      </c>
      <c r="M452" s="4" t="inlineStr">
        <is>
          <t>Online Banking</t>
        </is>
      </c>
      <c r="N452" s="4" t="inlineStr">
        <is>
          <t>N</t>
        </is>
      </c>
      <c r="O452" s="4">
        <f>TEXT(D452, "dddd")</f>
        <v/>
      </c>
      <c r="P452" s="4">
        <f>"Q"&amp;ROUNDUP(MONTH(D452)/3, 0)</f>
        <v/>
      </c>
    </row>
    <row r="453">
      <c r="A453" s="7" t="inlineStr">
        <is>
          <t>TXN100456</t>
        </is>
      </c>
      <c r="B453" s="7" t="inlineStr">
        <is>
          <t>CUST0456</t>
        </is>
      </c>
      <c r="C453" s="7" t="inlineStr">
        <is>
          <t>2026-06-01 00:40:00</t>
        </is>
      </c>
      <c r="D453" s="7">
        <f>TEXT(LEFT(C453,10),"YYYY-MM-DD")</f>
        <v/>
      </c>
      <c r="E453" s="8">
        <f>HOUR(C453)</f>
        <v/>
      </c>
      <c r="F453" s="7" t="inlineStr">
        <is>
          <t>Female</t>
        </is>
      </c>
      <c r="G453" s="8" t="n">
        <v>34</v>
      </c>
      <c r="H453" s="7">
        <f>IF(G453&gt;=60, "Boomer", IF(G453&gt;=45, "Gen X", IF(G453&gt;=25, "Millennial", "Gen Z")))</f>
        <v/>
      </c>
      <c r="I453" s="7" t="inlineStr">
        <is>
          <t>Investment</t>
        </is>
      </c>
      <c r="J453" s="7" t="inlineStr">
        <is>
          <t>Entertainment</t>
        </is>
      </c>
      <c r="K453" s="9" t="n">
        <v>2503.62</v>
      </c>
      <c r="L453" s="9" t="n">
        <v>5584.06</v>
      </c>
      <c r="M453" s="7" t="inlineStr">
        <is>
          <t>Branch Office</t>
        </is>
      </c>
      <c r="N453" s="7" t="inlineStr">
        <is>
          <t>N</t>
        </is>
      </c>
      <c r="O453" s="7">
        <f>TEXT(D453, "dddd")</f>
        <v/>
      </c>
      <c r="P453" s="7">
        <f>"Q"&amp;ROUNDUP(MONTH(D453)/3, 0)</f>
        <v/>
      </c>
    </row>
    <row r="454">
      <c r="A454" s="4" t="inlineStr">
        <is>
          <t>TXN100457</t>
        </is>
      </c>
      <c r="B454" s="4" t="inlineStr">
        <is>
          <t>CUST0457</t>
        </is>
      </c>
      <c r="C454" s="4" t="inlineStr">
        <is>
          <t>2026-06-01 05:04:00</t>
        </is>
      </c>
      <c r="D454" s="4">
        <f>TEXT(LEFT(C454,10),"YYYY-MM-DD")</f>
        <v/>
      </c>
      <c r="E454" s="5">
        <f>HOUR(C454)</f>
        <v/>
      </c>
      <c r="F454" s="4" t="inlineStr">
        <is>
          <t>Male</t>
        </is>
      </c>
      <c r="G454" s="5" t="n">
        <v>39</v>
      </c>
      <c r="H454" s="4">
        <f>IF(G454&gt;=60, "Boomer", IF(G454&gt;=45, "Gen X", IF(G454&gt;=25, "Millennial", "Gen Z")))</f>
        <v/>
      </c>
      <c r="I454" s="4" t="inlineStr">
        <is>
          <t>Checking</t>
        </is>
      </c>
      <c r="J454" s="4" t="inlineStr">
        <is>
          <t>Utilities</t>
        </is>
      </c>
      <c r="K454" s="6" t="n">
        <v>5825.38</v>
      </c>
      <c r="L454" s="6" t="n">
        <v>30020.31</v>
      </c>
      <c r="M454" s="4" t="inlineStr">
        <is>
          <t>Branch Office</t>
        </is>
      </c>
      <c r="N454" s="4" t="inlineStr">
        <is>
          <t>N</t>
        </is>
      </c>
      <c r="O454" s="4">
        <f>TEXT(D454, "dddd")</f>
        <v/>
      </c>
      <c r="P454" s="4">
        <f>"Q"&amp;ROUNDUP(MONTH(D454)/3, 0)</f>
        <v/>
      </c>
    </row>
    <row r="455">
      <c r="A455" s="7" t="inlineStr">
        <is>
          <t>TXN100458</t>
        </is>
      </c>
      <c r="B455" s="7" t="inlineStr">
        <is>
          <t>CUST0458</t>
        </is>
      </c>
      <c r="C455" s="7" t="inlineStr">
        <is>
          <t>2026-06-01 13:56:00</t>
        </is>
      </c>
      <c r="D455" s="7">
        <f>TEXT(LEFT(C455,10),"YYYY-MM-DD")</f>
        <v/>
      </c>
      <c r="E455" s="8">
        <f>HOUR(C455)</f>
        <v/>
      </c>
      <c r="F455" s="7" t="inlineStr">
        <is>
          <t>Male</t>
        </is>
      </c>
      <c r="G455" s="8" t="n">
        <v>41</v>
      </c>
      <c r="H455" s="7">
        <f>IF(G455&gt;=60, "Boomer", IF(G455&gt;=45, "Gen X", IF(G455&gt;=25, "Millennial", "Gen Z")))</f>
        <v/>
      </c>
      <c r="I455" s="7" t="inlineStr">
        <is>
          <t>Checking</t>
        </is>
      </c>
      <c r="J455" s="7" t="inlineStr">
        <is>
          <t>Entertainment</t>
        </is>
      </c>
      <c r="K455" s="9" t="n">
        <v>6003.42</v>
      </c>
      <c r="L455" s="9" t="n">
        <v>8661.73</v>
      </c>
      <c r="M455" s="7" t="inlineStr">
        <is>
          <t>ATM</t>
        </is>
      </c>
      <c r="N455" s="7" t="inlineStr">
        <is>
          <t>N</t>
        </is>
      </c>
      <c r="O455" s="7">
        <f>TEXT(D455, "dddd")</f>
        <v/>
      </c>
      <c r="P455" s="7">
        <f>"Q"&amp;ROUNDUP(MONTH(D455)/3, 0)</f>
        <v/>
      </c>
    </row>
    <row r="456">
      <c r="A456" s="4" t="inlineStr">
        <is>
          <t>TXN100459</t>
        </is>
      </c>
      <c r="B456" s="4" t="inlineStr">
        <is>
          <t>CUST0459</t>
        </is>
      </c>
      <c r="C456" s="4" t="inlineStr">
        <is>
          <t>2026-06-01 00:14:00</t>
        </is>
      </c>
      <c r="D456" s="4">
        <f>TEXT(LEFT(C456,10),"YYYY-MM-DD")</f>
        <v/>
      </c>
      <c r="E456" s="5">
        <f>HOUR(C456)</f>
        <v/>
      </c>
      <c r="F456" s="4" t="inlineStr">
        <is>
          <t>Female</t>
        </is>
      </c>
      <c r="G456" s="5" t="n">
        <v>66</v>
      </c>
      <c r="H456" s="4">
        <f>IF(G456&gt;=60, "Boomer", IF(G456&gt;=45, "Gen X", IF(G456&gt;=25, "Millennial", "Gen Z")))</f>
        <v/>
      </c>
      <c r="I456" s="4" t="inlineStr">
        <is>
          <t>Savings</t>
        </is>
      </c>
      <c r="J456" s="4" t="inlineStr">
        <is>
          <t>Groceries</t>
        </is>
      </c>
      <c r="K456" s="6" t="n">
        <v>5875.27</v>
      </c>
      <c r="L456" s="6" t="n">
        <v>29689.8</v>
      </c>
      <c r="M456" s="4" t="inlineStr">
        <is>
          <t>Online Banking</t>
        </is>
      </c>
      <c r="N456" s="4" t="inlineStr">
        <is>
          <t>N</t>
        </is>
      </c>
      <c r="O456" s="4">
        <f>TEXT(D456, "dddd")</f>
        <v/>
      </c>
      <c r="P456" s="4">
        <f>"Q"&amp;ROUNDUP(MONTH(D456)/3, 0)</f>
        <v/>
      </c>
    </row>
    <row r="457">
      <c r="A457" s="7" t="inlineStr">
        <is>
          <t>TXN100460</t>
        </is>
      </c>
      <c r="B457" s="7" t="inlineStr">
        <is>
          <t>CUST0460</t>
        </is>
      </c>
      <c r="C457" s="7" t="inlineStr">
        <is>
          <t>2026-06-01 03:23:00</t>
        </is>
      </c>
      <c r="D457" s="7">
        <f>TEXT(LEFT(C457,10),"YYYY-MM-DD")</f>
        <v/>
      </c>
      <c r="E457" s="8">
        <f>HOUR(C457)</f>
        <v/>
      </c>
      <c r="F457" s="7" t="inlineStr">
        <is>
          <t>Male</t>
        </is>
      </c>
      <c r="G457" s="8" t="n">
        <v>44</v>
      </c>
      <c r="H457" s="7">
        <f>IF(G457&gt;=60, "Boomer", IF(G457&gt;=45, "Gen X", IF(G457&gt;=25, "Millennial", "Gen Z")))</f>
        <v/>
      </c>
      <c r="I457" s="7" t="inlineStr">
        <is>
          <t>Investment</t>
        </is>
      </c>
      <c r="J457" s="7" t="inlineStr">
        <is>
          <t>Entertainment</t>
        </is>
      </c>
      <c r="K457" s="9" t="n">
        <v>6172.28</v>
      </c>
      <c r="L457" s="9" t="n">
        <v>31345.17</v>
      </c>
      <c r="M457" s="7" t="inlineStr">
        <is>
          <t>Mobile App</t>
        </is>
      </c>
      <c r="N457" s="7" t="inlineStr">
        <is>
          <t>N</t>
        </is>
      </c>
      <c r="O457" s="7">
        <f>TEXT(D457, "dddd")</f>
        <v/>
      </c>
      <c r="P457" s="7">
        <f>"Q"&amp;ROUNDUP(MONTH(D457)/3, 0)</f>
        <v/>
      </c>
    </row>
    <row r="458">
      <c r="A458" s="4" t="inlineStr">
        <is>
          <t>TXN100461</t>
        </is>
      </c>
      <c r="B458" s="4" t="inlineStr">
        <is>
          <t>CUST0461</t>
        </is>
      </c>
      <c r="C458" s="4" t="inlineStr">
        <is>
          <t>2026-06-01 21:06:00</t>
        </is>
      </c>
      <c r="D458" s="4">
        <f>TEXT(LEFT(C458,10),"YYYY-MM-DD")</f>
        <v/>
      </c>
      <c r="E458" s="5">
        <f>HOUR(C458)</f>
        <v/>
      </c>
      <c r="F458" s="4" t="inlineStr">
        <is>
          <t>Male</t>
        </is>
      </c>
      <c r="G458" s="5" t="n">
        <v>23</v>
      </c>
      <c r="H458" s="4">
        <f>IF(G458&gt;=60, "Boomer", IF(G458&gt;=45, "Gen X", IF(G458&gt;=25, "Millennial", "Gen Z")))</f>
        <v/>
      </c>
      <c r="I458" s="4" t="inlineStr">
        <is>
          <t>Investment</t>
        </is>
      </c>
      <c r="J458" s="4" t="inlineStr">
        <is>
          <t>Groceries</t>
        </is>
      </c>
      <c r="K458" s="6" t="n">
        <v>3340.04</v>
      </c>
      <c r="L458" s="6" t="n">
        <v>19322.56</v>
      </c>
      <c r="M458" s="4" t="inlineStr">
        <is>
          <t>Branch Office</t>
        </is>
      </c>
      <c r="N458" s="4" t="inlineStr">
        <is>
          <t>N</t>
        </is>
      </c>
      <c r="O458" s="4">
        <f>TEXT(D458, "dddd")</f>
        <v/>
      </c>
      <c r="P458" s="4">
        <f>"Q"&amp;ROUNDUP(MONTH(D458)/3, 0)</f>
        <v/>
      </c>
    </row>
    <row r="459">
      <c r="A459" s="7" t="inlineStr">
        <is>
          <t>TXN100462</t>
        </is>
      </c>
      <c r="B459" s="7" t="inlineStr">
        <is>
          <t>CUST0462</t>
        </is>
      </c>
      <c r="C459" s="7" t="inlineStr">
        <is>
          <t>2026-06-01 15:44:00</t>
        </is>
      </c>
      <c r="D459" s="7">
        <f>TEXT(LEFT(C459,10),"YYYY-MM-DD")</f>
        <v/>
      </c>
      <c r="E459" s="8">
        <f>HOUR(C459)</f>
        <v/>
      </c>
      <c r="F459" s="7" t="inlineStr">
        <is>
          <t>Male</t>
        </is>
      </c>
      <c r="G459" s="8" t="n">
        <v>33</v>
      </c>
      <c r="H459" s="7">
        <f>IF(G459&gt;=60, "Boomer", IF(G459&gt;=45, "Gen X", IF(G459&gt;=25, "Millennial", "Gen Z")))</f>
        <v/>
      </c>
      <c r="I459" s="7" t="inlineStr">
        <is>
          <t>Investment</t>
        </is>
      </c>
      <c r="J459" s="7" t="inlineStr">
        <is>
          <t>Groceries</t>
        </is>
      </c>
      <c r="K459" s="9" t="n">
        <v>2415.92</v>
      </c>
      <c r="L459" s="9" t="n">
        <v>33252.4</v>
      </c>
      <c r="M459" s="7" t="inlineStr">
        <is>
          <t>Branch Office</t>
        </is>
      </c>
      <c r="N459" s="7" t="inlineStr">
        <is>
          <t>N</t>
        </is>
      </c>
      <c r="O459" s="7">
        <f>TEXT(D459, "dddd")</f>
        <v/>
      </c>
      <c r="P459" s="7">
        <f>"Q"&amp;ROUNDUP(MONTH(D459)/3, 0)</f>
        <v/>
      </c>
    </row>
    <row r="460">
      <c r="A460" s="4" t="inlineStr">
        <is>
          <t>TXN100463</t>
        </is>
      </c>
      <c r="B460" s="4" t="inlineStr">
        <is>
          <t>CUST0463</t>
        </is>
      </c>
      <c r="C460" s="4" t="inlineStr">
        <is>
          <t>2026-06-01 19:38:00</t>
        </is>
      </c>
      <c r="D460" s="4">
        <f>TEXT(LEFT(C460,10),"YYYY-MM-DD")</f>
        <v/>
      </c>
      <c r="E460" s="5">
        <f>HOUR(C460)</f>
        <v/>
      </c>
      <c r="F460" s="4" t="inlineStr">
        <is>
          <t>Male</t>
        </is>
      </c>
      <c r="G460" s="5" t="n">
        <v>46</v>
      </c>
      <c r="H460" s="4">
        <f>IF(G460&gt;=60, "Boomer", IF(G460&gt;=45, "Gen X", IF(G460&gt;=25, "Millennial", "Gen Z")))</f>
        <v/>
      </c>
      <c r="I460" s="4" t="inlineStr">
        <is>
          <t>Savings</t>
        </is>
      </c>
      <c r="J460" s="4" t="inlineStr">
        <is>
          <t>Travel</t>
        </is>
      </c>
      <c r="K460" s="6" t="n">
        <v>5752.94</v>
      </c>
      <c r="L460" s="6" t="n">
        <v>6327.86</v>
      </c>
      <c r="M460" s="4" t="inlineStr">
        <is>
          <t>Mobile App</t>
        </is>
      </c>
      <c r="N460" s="4" t="inlineStr">
        <is>
          <t>N</t>
        </is>
      </c>
      <c r="O460" s="4">
        <f>TEXT(D460, "dddd")</f>
        <v/>
      </c>
      <c r="P460" s="4">
        <f>"Q"&amp;ROUNDUP(MONTH(D460)/3, 0)</f>
        <v/>
      </c>
    </row>
    <row r="461">
      <c r="A461" s="7" t="inlineStr">
        <is>
          <t>TXN100464</t>
        </is>
      </c>
      <c r="B461" s="7" t="inlineStr">
        <is>
          <t>CUST0464</t>
        </is>
      </c>
      <c r="C461" s="7" t="inlineStr">
        <is>
          <t>2026-06-01 03:31:00</t>
        </is>
      </c>
      <c r="D461" s="7">
        <f>TEXT(LEFT(C461,10),"YYYY-MM-DD")</f>
        <v/>
      </c>
      <c r="E461" s="8">
        <f>HOUR(C461)</f>
        <v/>
      </c>
      <c r="F461" s="7" t="inlineStr">
        <is>
          <t>Female</t>
        </is>
      </c>
      <c r="G461" s="8" t="n">
        <v>58</v>
      </c>
      <c r="H461" s="7">
        <f>IF(G461&gt;=60, "Boomer", IF(G461&gt;=45, "Gen X", IF(G461&gt;=25, "Millennial", "Gen Z")))</f>
        <v/>
      </c>
      <c r="I461" s="7" t="inlineStr">
        <is>
          <t>Savings</t>
        </is>
      </c>
      <c r="J461" s="7" t="inlineStr">
        <is>
          <t>Entertainment</t>
        </is>
      </c>
      <c r="K461" s="9" t="n">
        <v>6653.68</v>
      </c>
      <c r="L461" s="9" t="n">
        <v>48669.43</v>
      </c>
      <c r="M461" s="7" t="inlineStr">
        <is>
          <t>Branch Office</t>
        </is>
      </c>
      <c r="N461" s="7" t="inlineStr">
        <is>
          <t>N</t>
        </is>
      </c>
      <c r="O461" s="7">
        <f>TEXT(D461, "dddd")</f>
        <v/>
      </c>
      <c r="P461" s="7">
        <f>"Q"&amp;ROUNDUP(MONTH(D461)/3, 0)</f>
        <v/>
      </c>
    </row>
    <row r="462">
      <c r="A462" s="4" t="inlineStr">
        <is>
          <t>TXN100465</t>
        </is>
      </c>
      <c r="B462" s="4" t="inlineStr">
        <is>
          <t>CUST0465</t>
        </is>
      </c>
      <c r="C462" s="4" t="inlineStr">
        <is>
          <t>2026-06-01 22:26:00</t>
        </is>
      </c>
      <c r="D462" s="4">
        <f>TEXT(LEFT(C462,10),"YYYY-MM-DD")</f>
        <v/>
      </c>
      <c r="E462" s="5">
        <f>HOUR(C462)</f>
        <v/>
      </c>
      <c r="F462" s="4" t="inlineStr">
        <is>
          <t>Female</t>
        </is>
      </c>
      <c r="G462" s="5" t="n">
        <v>30</v>
      </c>
      <c r="H462" s="4">
        <f>IF(G462&gt;=60, "Boomer", IF(G462&gt;=45, "Gen X", IF(G462&gt;=25, "Millennial", "Gen Z")))</f>
        <v/>
      </c>
      <c r="I462" s="4" t="inlineStr">
        <is>
          <t>Savings</t>
        </is>
      </c>
      <c r="J462" s="4" t="inlineStr">
        <is>
          <t>Travel</t>
        </is>
      </c>
      <c r="K462" s="6" t="n">
        <v>3975.87</v>
      </c>
      <c r="L462" s="6" t="n">
        <v>10780.85</v>
      </c>
      <c r="M462" s="4" t="inlineStr">
        <is>
          <t>ATM</t>
        </is>
      </c>
      <c r="N462" s="4" t="inlineStr">
        <is>
          <t>N</t>
        </is>
      </c>
      <c r="O462" s="4">
        <f>TEXT(D462, "dddd")</f>
        <v/>
      </c>
      <c r="P462" s="4">
        <f>"Q"&amp;ROUNDUP(MONTH(D462)/3, 0)</f>
        <v/>
      </c>
    </row>
    <row r="463">
      <c r="A463" s="7" t="inlineStr">
        <is>
          <t>TXN100466</t>
        </is>
      </c>
      <c r="B463" s="7" t="inlineStr">
        <is>
          <t>CUST0466</t>
        </is>
      </c>
      <c r="C463" s="7" t="inlineStr">
        <is>
          <t>2026-06-01 10:15:00</t>
        </is>
      </c>
      <c r="D463" s="7">
        <f>TEXT(LEFT(C463,10),"YYYY-MM-DD")</f>
        <v/>
      </c>
      <c r="E463" s="8">
        <f>HOUR(C463)</f>
        <v/>
      </c>
      <c r="F463" s="7" t="inlineStr">
        <is>
          <t>Male</t>
        </is>
      </c>
      <c r="G463" s="8" t="n">
        <v>20</v>
      </c>
      <c r="H463" s="7">
        <f>IF(G463&gt;=60, "Boomer", IF(G463&gt;=45, "Gen X", IF(G463&gt;=25, "Millennial", "Gen Z")))</f>
        <v/>
      </c>
      <c r="I463" s="7" t="inlineStr">
        <is>
          <t>Investment</t>
        </is>
      </c>
      <c r="J463" s="7" t="inlineStr">
        <is>
          <t>Groceries</t>
        </is>
      </c>
      <c r="K463" s="9" t="n">
        <v>7255.97</v>
      </c>
      <c r="L463" s="9" t="n">
        <v>41843.99</v>
      </c>
      <c r="M463" s="7" t="inlineStr">
        <is>
          <t>ATM</t>
        </is>
      </c>
      <c r="N463" s="7" t="inlineStr">
        <is>
          <t>N</t>
        </is>
      </c>
      <c r="O463" s="7">
        <f>TEXT(D463, "dddd")</f>
        <v/>
      </c>
      <c r="P463" s="7">
        <f>"Q"&amp;ROUNDUP(MONTH(D463)/3, 0)</f>
        <v/>
      </c>
    </row>
    <row r="464">
      <c r="A464" s="4" t="inlineStr">
        <is>
          <t>TXN100467</t>
        </is>
      </c>
      <c r="B464" s="4" t="inlineStr">
        <is>
          <t>CUST0467</t>
        </is>
      </c>
      <c r="C464" s="4" t="inlineStr">
        <is>
          <t>2026-06-01 02:49:00</t>
        </is>
      </c>
      <c r="D464" s="4">
        <f>TEXT(LEFT(C464,10),"YYYY-MM-DD")</f>
        <v/>
      </c>
      <c r="E464" s="5">
        <f>HOUR(C464)</f>
        <v/>
      </c>
      <c r="F464" s="4" t="inlineStr">
        <is>
          <t>Male</t>
        </is>
      </c>
      <c r="G464" s="5" t="n">
        <v>66</v>
      </c>
      <c r="H464" s="4">
        <f>IF(G464&gt;=60, "Boomer", IF(G464&gt;=45, "Gen X", IF(G464&gt;=25, "Millennial", "Gen Z")))</f>
        <v/>
      </c>
      <c r="I464" s="4" t="inlineStr">
        <is>
          <t>Investment</t>
        </is>
      </c>
      <c r="J464" s="4" t="inlineStr">
        <is>
          <t>Groceries</t>
        </is>
      </c>
      <c r="K464" s="6" t="n">
        <v>7239.19</v>
      </c>
      <c r="L464" s="6" t="n">
        <v>32394.67</v>
      </c>
      <c r="M464" s="4" t="inlineStr">
        <is>
          <t>ATM</t>
        </is>
      </c>
      <c r="N464" s="4" t="inlineStr">
        <is>
          <t>Y</t>
        </is>
      </c>
      <c r="O464" s="4">
        <f>TEXT(D464, "dddd")</f>
        <v/>
      </c>
      <c r="P464" s="4">
        <f>"Q"&amp;ROUNDUP(MONTH(D464)/3, 0)</f>
        <v/>
      </c>
    </row>
    <row r="465">
      <c r="A465" s="7" t="inlineStr">
        <is>
          <t>TXN100468</t>
        </is>
      </c>
      <c r="B465" s="7" t="inlineStr">
        <is>
          <t>CUST0468</t>
        </is>
      </c>
      <c r="C465" s="7" t="inlineStr">
        <is>
          <t>2026-06-01 09:16:00</t>
        </is>
      </c>
      <c r="D465" s="7">
        <f>TEXT(LEFT(C465,10),"YYYY-MM-DD")</f>
        <v/>
      </c>
      <c r="E465" s="8">
        <f>HOUR(C465)</f>
        <v/>
      </c>
      <c r="F465" s="7" t="inlineStr">
        <is>
          <t>Unspecified</t>
        </is>
      </c>
      <c r="G465" s="8" t="n">
        <v>23</v>
      </c>
      <c r="H465" s="7">
        <f>IF(G465&gt;=60, "Boomer", IF(G465&gt;=45, "Gen X", IF(G465&gt;=25, "Millennial", "Gen Z")))</f>
        <v/>
      </c>
      <c r="I465" s="7" t="inlineStr">
        <is>
          <t>Savings</t>
        </is>
      </c>
      <c r="J465" s="7" t="inlineStr">
        <is>
          <t>Groceries</t>
        </is>
      </c>
      <c r="K465" s="9" t="n">
        <v>6994.38</v>
      </c>
      <c r="L465" s="9" t="n">
        <v>42686.31</v>
      </c>
      <c r="M465" s="7" t="inlineStr">
        <is>
          <t>Branch Office</t>
        </is>
      </c>
      <c r="N465" s="7" t="inlineStr">
        <is>
          <t>N</t>
        </is>
      </c>
      <c r="O465" s="7">
        <f>TEXT(D465, "dddd")</f>
        <v/>
      </c>
      <c r="P465" s="7">
        <f>"Q"&amp;ROUNDUP(MONTH(D465)/3, 0)</f>
        <v/>
      </c>
    </row>
    <row r="466">
      <c r="A466" s="4" t="inlineStr">
        <is>
          <t>TXN100469</t>
        </is>
      </c>
      <c r="B466" s="4" t="inlineStr">
        <is>
          <t>CUST0469</t>
        </is>
      </c>
      <c r="C466" s="4" t="inlineStr">
        <is>
          <t>2026-06-01 21:20:00</t>
        </is>
      </c>
      <c r="D466" s="4">
        <f>TEXT(LEFT(C466,10),"YYYY-MM-DD")</f>
        <v/>
      </c>
      <c r="E466" s="5">
        <f>HOUR(C466)</f>
        <v/>
      </c>
      <c r="F466" s="4" t="inlineStr">
        <is>
          <t>Unspecified</t>
        </is>
      </c>
      <c r="G466" s="5" t="n">
        <v>67</v>
      </c>
      <c r="H466" s="4">
        <f>IF(G466&gt;=60, "Boomer", IF(G466&gt;=45, "Gen X", IF(G466&gt;=25, "Millennial", "Gen Z")))</f>
        <v/>
      </c>
      <c r="I466" s="4" t="inlineStr">
        <is>
          <t>Savings</t>
        </is>
      </c>
      <c r="J466" s="4" t="inlineStr">
        <is>
          <t>Groceries</t>
        </is>
      </c>
      <c r="K466" s="6" t="n">
        <v>6811.45</v>
      </c>
      <c r="L466" s="6" t="n">
        <v>44569.45</v>
      </c>
      <c r="M466" s="4" t="inlineStr">
        <is>
          <t>Mobile App</t>
        </is>
      </c>
      <c r="N466" s="4" t="inlineStr">
        <is>
          <t>N</t>
        </is>
      </c>
      <c r="O466" s="4">
        <f>TEXT(D466, "dddd")</f>
        <v/>
      </c>
      <c r="P466" s="4">
        <f>"Q"&amp;ROUNDUP(MONTH(D466)/3, 0)</f>
        <v/>
      </c>
    </row>
    <row r="467">
      <c r="A467" s="7" t="inlineStr">
        <is>
          <t>TXN100470</t>
        </is>
      </c>
      <c r="B467" s="7" t="inlineStr">
        <is>
          <t>CUST0470</t>
        </is>
      </c>
      <c r="C467" s="7" t="inlineStr">
        <is>
          <t>2026-06-01 04:42:00</t>
        </is>
      </c>
      <c r="D467" s="7">
        <f>TEXT(LEFT(C467,10),"YYYY-MM-DD")</f>
        <v/>
      </c>
      <c r="E467" s="8">
        <f>HOUR(C467)</f>
        <v/>
      </c>
      <c r="F467" s="7" t="inlineStr">
        <is>
          <t>Male</t>
        </is>
      </c>
      <c r="G467" s="8" t="n">
        <v>41</v>
      </c>
      <c r="H467" s="7">
        <f>IF(G467&gt;=60, "Boomer", IF(G467&gt;=45, "Gen X", IF(G467&gt;=25, "Millennial", "Gen Z")))</f>
        <v/>
      </c>
      <c r="I467" s="7" t="inlineStr">
        <is>
          <t>Checking</t>
        </is>
      </c>
      <c r="J467" s="7" t="inlineStr">
        <is>
          <t>Utilities</t>
        </is>
      </c>
      <c r="K467" s="9" t="n">
        <v>7641.16</v>
      </c>
      <c r="L467" s="9" t="n">
        <v>13781.32</v>
      </c>
      <c r="M467" s="7" t="inlineStr">
        <is>
          <t>Mobile App</t>
        </is>
      </c>
      <c r="N467" s="7" t="inlineStr">
        <is>
          <t>N</t>
        </is>
      </c>
      <c r="O467" s="7">
        <f>TEXT(D467, "dddd")</f>
        <v/>
      </c>
      <c r="P467" s="7">
        <f>"Q"&amp;ROUNDUP(MONTH(D467)/3, 0)</f>
        <v/>
      </c>
    </row>
    <row r="468">
      <c r="A468" s="4" t="inlineStr">
        <is>
          <t>TXN100471</t>
        </is>
      </c>
      <c r="B468" s="4" t="inlineStr">
        <is>
          <t>CUST0471</t>
        </is>
      </c>
      <c r="C468" s="4" t="inlineStr">
        <is>
          <t>2026-06-01 10:11:00</t>
        </is>
      </c>
      <c r="D468" s="4">
        <f>TEXT(LEFT(C468,10),"YYYY-MM-DD")</f>
        <v/>
      </c>
      <c r="E468" s="5">
        <f>HOUR(C468)</f>
        <v/>
      </c>
      <c r="F468" s="4" t="inlineStr">
        <is>
          <t>Male</t>
        </is>
      </c>
      <c r="G468" s="5" t="n">
        <v>45</v>
      </c>
      <c r="H468" s="4">
        <f>IF(G468&gt;=60, "Boomer", IF(G468&gt;=45, "Gen X", IF(G468&gt;=25, "Millennial", "Gen Z")))</f>
        <v/>
      </c>
      <c r="I468" s="4" t="inlineStr">
        <is>
          <t>Checking</t>
        </is>
      </c>
      <c r="J468" s="4" t="inlineStr">
        <is>
          <t>Utilities</t>
        </is>
      </c>
      <c r="K468" s="6" t="n">
        <v>2181.95</v>
      </c>
      <c r="L468" s="6" t="n">
        <v>19592.92</v>
      </c>
      <c r="M468" s="4" t="inlineStr">
        <is>
          <t>ATM</t>
        </is>
      </c>
      <c r="N468" s="4" t="inlineStr">
        <is>
          <t>N</t>
        </is>
      </c>
      <c r="O468" s="4">
        <f>TEXT(D468, "dddd")</f>
        <v/>
      </c>
      <c r="P468" s="4">
        <f>"Q"&amp;ROUNDUP(MONTH(D468)/3, 0)</f>
        <v/>
      </c>
    </row>
    <row r="469">
      <c r="A469" s="7" t="inlineStr">
        <is>
          <t>TXN100472</t>
        </is>
      </c>
      <c r="B469" s="7" t="inlineStr">
        <is>
          <t>CUST0472</t>
        </is>
      </c>
      <c r="C469" s="7" t="inlineStr">
        <is>
          <t>2026-06-01 13:41:00</t>
        </is>
      </c>
      <c r="D469" s="7">
        <f>TEXT(LEFT(C469,10),"YYYY-MM-DD")</f>
        <v/>
      </c>
      <c r="E469" s="8">
        <f>HOUR(C469)</f>
        <v/>
      </c>
      <c r="F469" s="7" t="inlineStr">
        <is>
          <t>Male</t>
        </is>
      </c>
      <c r="G469" s="8" t="n">
        <v>27</v>
      </c>
      <c r="H469" s="7">
        <f>IF(G469&gt;=60, "Boomer", IF(G469&gt;=45, "Gen X", IF(G469&gt;=25, "Millennial", "Gen Z")))</f>
        <v/>
      </c>
      <c r="I469" s="7" t="inlineStr">
        <is>
          <t>Savings</t>
        </is>
      </c>
      <c r="J469" s="7" t="inlineStr">
        <is>
          <t>Groceries</t>
        </is>
      </c>
      <c r="K469" s="9" t="n">
        <v>7852.74</v>
      </c>
      <c r="L469" s="9" t="n">
        <v>42295.32</v>
      </c>
      <c r="M469" s="7" t="inlineStr">
        <is>
          <t>Mobile App</t>
        </is>
      </c>
      <c r="N469" s="7" t="inlineStr">
        <is>
          <t>N</t>
        </is>
      </c>
      <c r="O469" s="7">
        <f>TEXT(D469, "dddd")</f>
        <v/>
      </c>
      <c r="P469" s="7">
        <f>"Q"&amp;ROUNDUP(MONTH(D469)/3, 0)</f>
        <v/>
      </c>
    </row>
    <row r="470">
      <c r="A470" s="4" t="inlineStr">
        <is>
          <t>TXN100473</t>
        </is>
      </c>
      <c r="B470" s="4" t="inlineStr">
        <is>
          <t>CUST0473</t>
        </is>
      </c>
      <c r="C470" s="4" t="inlineStr">
        <is>
          <t>2026-06-01 18:30:00</t>
        </is>
      </c>
      <c r="D470" s="4">
        <f>TEXT(LEFT(C470,10),"YYYY-MM-DD")</f>
        <v/>
      </c>
      <c r="E470" s="5">
        <f>HOUR(C470)</f>
        <v/>
      </c>
      <c r="F470" s="4" t="inlineStr">
        <is>
          <t>Unspecified</t>
        </is>
      </c>
      <c r="G470" s="5" t="n">
        <v>31</v>
      </c>
      <c r="H470" s="4">
        <f>IF(G470&gt;=60, "Boomer", IF(G470&gt;=45, "Gen X", IF(G470&gt;=25, "Millennial", "Gen Z")))</f>
        <v/>
      </c>
      <c r="I470" s="4" t="inlineStr">
        <is>
          <t>Investment</t>
        </is>
      </c>
      <c r="J470" s="4" t="inlineStr">
        <is>
          <t>Utilities</t>
        </is>
      </c>
      <c r="K470" s="6" t="n">
        <v>6235.52</v>
      </c>
      <c r="L470" s="6" t="n">
        <v>30762.24</v>
      </c>
      <c r="M470" s="4" t="inlineStr">
        <is>
          <t>Online Banking</t>
        </is>
      </c>
      <c r="N470" s="4" t="inlineStr">
        <is>
          <t>N</t>
        </is>
      </c>
      <c r="O470" s="4">
        <f>TEXT(D470, "dddd")</f>
        <v/>
      </c>
      <c r="P470" s="4">
        <f>"Q"&amp;ROUNDUP(MONTH(D470)/3, 0)</f>
        <v/>
      </c>
    </row>
    <row r="471">
      <c r="A471" s="7" t="inlineStr">
        <is>
          <t>TXN100474</t>
        </is>
      </c>
      <c r="B471" s="7" t="inlineStr">
        <is>
          <t>CUST0474</t>
        </is>
      </c>
      <c r="C471" s="7" t="inlineStr">
        <is>
          <t>2026-06-01 15:58:00</t>
        </is>
      </c>
      <c r="D471" s="7">
        <f>TEXT(LEFT(C471,10),"YYYY-MM-DD")</f>
        <v/>
      </c>
      <c r="E471" s="8">
        <f>HOUR(C471)</f>
        <v/>
      </c>
      <c r="F471" s="7" t="inlineStr">
        <is>
          <t>Unspecified</t>
        </is>
      </c>
      <c r="G471" s="8" t="n">
        <v>27</v>
      </c>
      <c r="H471" s="7">
        <f>IF(G471&gt;=60, "Boomer", IF(G471&gt;=45, "Gen X", IF(G471&gt;=25, "Millennial", "Gen Z")))</f>
        <v/>
      </c>
      <c r="I471" s="7" t="inlineStr">
        <is>
          <t>Checking</t>
        </is>
      </c>
      <c r="J471" s="7" t="inlineStr">
        <is>
          <t>Utilities</t>
        </is>
      </c>
      <c r="K471" s="9" t="n">
        <v>377.32</v>
      </c>
      <c r="L471" s="9" t="n">
        <v>13449.84</v>
      </c>
      <c r="M471" s="7" t="inlineStr">
        <is>
          <t>Branch Office</t>
        </is>
      </c>
      <c r="N471" s="7" t="inlineStr">
        <is>
          <t>N</t>
        </is>
      </c>
      <c r="O471" s="7">
        <f>TEXT(D471, "dddd")</f>
        <v/>
      </c>
      <c r="P471" s="7">
        <f>"Q"&amp;ROUNDUP(MONTH(D471)/3, 0)</f>
        <v/>
      </c>
    </row>
    <row r="472">
      <c r="A472" s="4" t="inlineStr">
        <is>
          <t>TXN100475</t>
        </is>
      </c>
      <c r="B472" s="4" t="inlineStr">
        <is>
          <t>CUST0475</t>
        </is>
      </c>
      <c r="C472" s="4" t="inlineStr">
        <is>
          <t>2026-06-01 00:45:00</t>
        </is>
      </c>
      <c r="D472" s="4">
        <f>TEXT(LEFT(C472,10),"YYYY-MM-DD")</f>
        <v/>
      </c>
      <c r="E472" s="5">
        <f>HOUR(C472)</f>
        <v/>
      </c>
      <c r="F472" s="4" t="inlineStr">
        <is>
          <t>Female</t>
        </is>
      </c>
      <c r="G472" s="5" t="n">
        <v>62</v>
      </c>
      <c r="H472" s="4">
        <f>IF(G472&gt;=60, "Boomer", IF(G472&gt;=45, "Gen X", IF(G472&gt;=25, "Millennial", "Gen Z")))</f>
        <v/>
      </c>
      <c r="I472" s="4" t="inlineStr">
        <is>
          <t>Checking</t>
        </is>
      </c>
      <c r="J472" s="4" t="inlineStr">
        <is>
          <t>Travel</t>
        </is>
      </c>
      <c r="K472" s="6" t="n">
        <v>4189.59</v>
      </c>
      <c r="L472" s="6" t="n">
        <v>35178.72</v>
      </c>
      <c r="M472" s="4" t="inlineStr">
        <is>
          <t>Mobile App</t>
        </is>
      </c>
      <c r="N472" s="4" t="inlineStr">
        <is>
          <t>N</t>
        </is>
      </c>
      <c r="O472" s="4">
        <f>TEXT(D472, "dddd")</f>
        <v/>
      </c>
      <c r="P472" s="4">
        <f>"Q"&amp;ROUNDUP(MONTH(D472)/3, 0)</f>
        <v/>
      </c>
    </row>
    <row r="473">
      <c r="A473" s="7" t="inlineStr">
        <is>
          <t>TXN100476</t>
        </is>
      </c>
      <c r="B473" s="7" t="inlineStr">
        <is>
          <t>CUST0476</t>
        </is>
      </c>
      <c r="C473" s="7" t="inlineStr">
        <is>
          <t>2026-06-01 13:42:00</t>
        </is>
      </c>
      <c r="D473" s="7">
        <f>TEXT(LEFT(C473,10),"YYYY-MM-DD")</f>
        <v/>
      </c>
      <c r="E473" s="8">
        <f>HOUR(C473)</f>
        <v/>
      </c>
      <c r="F473" s="7" t="inlineStr">
        <is>
          <t>Female</t>
        </is>
      </c>
      <c r="G473" s="8" t="n">
        <v>50</v>
      </c>
      <c r="H473" s="7">
        <f>IF(G473&gt;=60, "Boomer", IF(G473&gt;=45, "Gen X", IF(G473&gt;=25, "Millennial", "Gen Z")))</f>
        <v/>
      </c>
      <c r="I473" s="7" t="inlineStr">
        <is>
          <t>Checking</t>
        </is>
      </c>
      <c r="J473" s="7" t="inlineStr">
        <is>
          <t>Utilities</t>
        </is>
      </c>
      <c r="K473" s="9" t="n">
        <v>1197.75</v>
      </c>
      <c r="L473" s="9" t="n">
        <v>41408.67</v>
      </c>
      <c r="M473" s="7" t="inlineStr">
        <is>
          <t>Mobile App</t>
        </is>
      </c>
      <c r="N473" s="7" t="inlineStr">
        <is>
          <t>N</t>
        </is>
      </c>
      <c r="O473" s="7">
        <f>TEXT(D473, "dddd")</f>
        <v/>
      </c>
      <c r="P473" s="7">
        <f>"Q"&amp;ROUNDUP(MONTH(D473)/3, 0)</f>
        <v/>
      </c>
    </row>
    <row r="474">
      <c r="A474" s="4" t="inlineStr">
        <is>
          <t>TXN100477</t>
        </is>
      </c>
      <c r="B474" s="4" t="inlineStr">
        <is>
          <t>CUST0477</t>
        </is>
      </c>
      <c r="C474" s="4" t="inlineStr">
        <is>
          <t>2026-06-01 00:41:00</t>
        </is>
      </c>
      <c r="D474" s="4">
        <f>TEXT(LEFT(C474,10),"YYYY-MM-DD")</f>
        <v/>
      </c>
      <c r="E474" s="5">
        <f>HOUR(C474)</f>
        <v/>
      </c>
      <c r="F474" s="4" t="inlineStr">
        <is>
          <t>Male</t>
        </is>
      </c>
      <c r="G474" s="5" t="n">
        <v>52</v>
      </c>
      <c r="H474" s="4">
        <f>IF(G474&gt;=60, "Boomer", IF(G474&gt;=45, "Gen X", IF(G474&gt;=25, "Millennial", "Gen Z")))</f>
        <v/>
      </c>
      <c r="I474" s="4" t="inlineStr">
        <is>
          <t>Checking</t>
        </is>
      </c>
      <c r="J474" s="4" t="inlineStr">
        <is>
          <t>Utilities</t>
        </is>
      </c>
      <c r="K474" s="6" t="n">
        <v>6956.63</v>
      </c>
      <c r="L474" s="6" t="n">
        <v>4205.83</v>
      </c>
      <c r="M474" s="4" t="inlineStr">
        <is>
          <t>ATM</t>
        </is>
      </c>
      <c r="N474" s="4" t="inlineStr">
        <is>
          <t>N</t>
        </is>
      </c>
      <c r="O474" s="4">
        <f>TEXT(D474, "dddd")</f>
        <v/>
      </c>
      <c r="P474" s="4">
        <f>"Q"&amp;ROUNDUP(MONTH(D474)/3, 0)</f>
        <v/>
      </c>
    </row>
    <row r="475">
      <c r="A475" s="7" t="inlineStr">
        <is>
          <t>TXN100478</t>
        </is>
      </c>
      <c r="B475" s="7" t="inlineStr">
        <is>
          <t>CUST0478</t>
        </is>
      </c>
      <c r="C475" s="7" t="inlineStr">
        <is>
          <t>2026-06-01 10:15:00</t>
        </is>
      </c>
      <c r="D475" s="7">
        <f>TEXT(LEFT(C475,10),"YYYY-MM-DD")</f>
        <v/>
      </c>
      <c r="E475" s="8">
        <f>HOUR(C475)</f>
        <v/>
      </c>
      <c r="F475" s="7" t="inlineStr">
        <is>
          <t>Female</t>
        </is>
      </c>
      <c r="G475" s="8" t="n">
        <v>37</v>
      </c>
      <c r="H475" s="7">
        <f>IF(G475&gt;=60, "Boomer", IF(G475&gt;=45, "Gen X", IF(G475&gt;=25, "Millennial", "Gen Z")))</f>
        <v/>
      </c>
      <c r="I475" s="7" t="inlineStr">
        <is>
          <t>Savings</t>
        </is>
      </c>
      <c r="J475" s="7" t="inlineStr">
        <is>
          <t>Travel</t>
        </is>
      </c>
      <c r="K475" s="9" t="n">
        <v>1789.43</v>
      </c>
      <c r="L475" s="9" t="n">
        <v>32344.21</v>
      </c>
      <c r="M475" s="7" t="inlineStr">
        <is>
          <t>ATM</t>
        </is>
      </c>
      <c r="N475" s="7" t="inlineStr">
        <is>
          <t>N</t>
        </is>
      </c>
      <c r="O475" s="7">
        <f>TEXT(D475, "dddd")</f>
        <v/>
      </c>
      <c r="P475" s="7">
        <f>"Q"&amp;ROUNDUP(MONTH(D475)/3, 0)</f>
        <v/>
      </c>
    </row>
    <row r="476">
      <c r="A476" s="4" t="inlineStr">
        <is>
          <t>TXN100479</t>
        </is>
      </c>
      <c r="B476" s="4" t="inlineStr">
        <is>
          <t>CUST0479</t>
        </is>
      </c>
      <c r="C476" s="4" t="inlineStr">
        <is>
          <t>2026-06-01 07:05:00</t>
        </is>
      </c>
      <c r="D476" s="4">
        <f>TEXT(LEFT(C476,10),"YYYY-MM-DD")</f>
        <v/>
      </c>
      <c r="E476" s="5">
        <f>HOUR(C476)</f>
        <v/>
      </c>
      <c r="F476" s="4" t="inlineStr">
        <is>
          <t>Unspecified</t>
        </is>
      </c>
      <c r="G476" s="5" t="n">
        <v>48</v>
      </c>
      <c r="H476" s="4">
        <f>IF(G476&gt;=60, "Boomer", IF(G476&gt;=45, "Gen X", IF(G476&gt;=25, "Millennial", "Gen Z")))</f>
        <v/>
      </c>
      <c r="I476" s="4" t="inlineStr">
        <is>
          <t>Investment</t>
        </is>
      </c>
      <c r="J476" s="4" t="inlineStr">
        <is>
          <t>Utilities</t>
        </is>
      </c>
      <c r="K476" s="6" t="n">
        <v>713.28</v>
      </c>
      <c r="L476" s="6" t="n">
        <v>25173.58</v>
      </c>
      <c r="M476" s="4" t="inlineStr">
        <is>
          <t>Branch Office</t>
        </is>
      </c>
      <c r="N476" s="4" t="inlineStr">
        <is>
          <t>N</t>
        </is>
      </c>
      <c r="O476" s="4">
        <f>TEXT(D476, "dddd")</f>
        <v/>
      </c>
      <c r="P476" s="4">
        <f>"Q"&amp;ROUNDUP(MONTH(D476)/3, 0)</f>
        <v/>
      </c>
    </row>
    <row r="477">
      <c r="A477" s="7" t="inlineStr">
        <is>
          <t>TXN100480</t>
        </is>
      </c>
      <c r="B477" s="7" t="inlineStr">
        <is>
          <t>CUST0480</t>
        </is>
      </c>
      <c r="C477" s="7" t="inlineStr">
        <is>
          <t>2026-06-01 03:31:00</t>
        </is>
      </c>
      <c r="D477" s="7">
        <f>TEXT(LEFT(C477,10),"YYYY-MM-DD")</f>
        <v/>
      </c>
      <c r="E477" s="8">
        <f>HOUR(C477)</f>
        <v/>
      </c>
      <c r="F477" s="7" t="inlineStr">
        <is>
          <t>Male</t>
        </is>
      </c>
      <c r="G477" s="8" t="n">
        <v>26</v>
      </c>
      <c r="H477" s="7">
        <f>IF(G477&gt;=60, "Boomer", IF(G477&gt;=45, "Gen X", IF(G477&gt;=25, "Millennial", "Gen Z")))</f>
        <v/>
      </c>
      <c r="I477" s="7" t="inlineStr">
        <is>
          <t>Checking</t>
        </is>
      </c>
      <c r="J477" s="7" t="inlineStr">
        <is>
          <t>Utilities</t>
        </is>
      </c>
      <c r="K477" s="9" t="n">
        <v>296.3</v>
      </c>
      <c r="L477" s="9" t="n">
        <v>27680.39</v>
      </c>
      <c r="M477" s="7" t="inlineStr">
        <is>
          <t>Mobile App</t>
        </is>
      </c>
      <c r="N477" s="7" t="inlineStr">
        <is>
          <t>N</t>
        </is>
      </c>
      <c r="O477" s="7">
        <f>TEXT(D477, "dddd")</f>
        <v/>
      </c>
      <c r="P477" s="7">
        <f>"Q"&amp;ROUNDUP(MONTH(D477)/3, 0)</f>
        <v/>
      </c>
    </row>
    <row r="478">
      <c r="A478" s="4" t="inlineStr">
        <is>
          <t>TXN100481</t>
        </is>
      </c>
      <c r="B478" s="4" t="inlineStr">
        <is>
          <t>CUST0481</t>
        </is>
      </c>
      <c r="C478" s="4" t="inlineStr">
        <is>
          <t>2026-06-01 19:39:00</t>
        </is>
      </c>
      <c r="D478" s="4">
        <f>TEXT(LEFT(C478,10),"YYYY-MM-DD")</f>
        <v/>
      </c>
      <c r="E478" s="5">
        <f>HOUR(C478)</f>
        <v/>
      </c>
      <c r="F478" s="4" t="inlineStr">
        <is>
          <t>Female</t>
        </is>
      </c>
      <c r="G478" s="5" t="n">
        <v>52</v>
      </c>
      <c r="H478" s="4">
        <f>IF(G478&gt;=60, "Boomer", IF(G478&gt;=45, "Gen X", IF(G478&gt;=25, "Millennial", "Gen Z")))</f>
        <v/>
      </c>
      <c r="I478" s="4" t="inlineStr">
        <is>
          <t>Investment</t>
        </is>
      </c>
      <c r="J478" s="4" t="inlineStr">
        <is>
          <t>Groceries</t>
        </is>
      </c>
      <c r="K478" s="6" t="n">
        <v>5240.22</v>
      </c>
      <c r="L478" s="6" t="n">
        <v>23082.29</v>
      </c>
      <c r="M478" s="4" t="inlineStr">
        <is>
          <t>Branch Office</t>
        </is>
      </c>
      <c r="N478" s="4" t="inlineStr">
        <is>
          <t>N</t>
        </is>
      </c>
      <c r="O478" s="4">
        <f>TEXT(D478, "dddd")</f>
        <v/>
      </c>
      <c r="P478" s="4">
        <f>"Q"&amp;ROUNDUP(MONTH(D478)/3, 0)</f>
        <v/>
      </c>
    </row>
    <row r="479">
      <c r="A479" s="7" t="inlineStr">
        <is>
          <t>TXN100482</t>
        </is>
      </c>
      <c r="B479" s="7" t="inlineStr">
        <is>
          <t>CUST0482</t>
        </is>
      </c>
      <c r="C479" s="7" t="inlineStr">
        <is>
          <t>2026-06-01 11:52:00</t>
        </is>
      </c>
      <c r="D479" s="7">
        <f>TEXT(LEFT(C479,10),"YYYY-MM-DD")</f>
        <v/>
      </c>
      <c r="E479" s="8">
        <f>HOUR(C479)</f>
        <v/>
      </c>
      <c r="F479" s="7" t="inlineStr">
        <is>
          <t>Male</t>
        </is>
      </c>
      <c r="G479" s="8" t="n">
        <v>72</v>
      </c>
      <c r="H479" s="7">
        <f>IF(G479&gt;=60, "Boomer", IF(G479&gt;=45, "Gen X", IF(G479&gt;=25, "Millennial", "Gen Z")))</f>
        <v/>
      </c>
      <c r="I479" s="7" t="inlineStr">
        <is>
          <t>Savings</t>
        </is>
      </c>
      <c r="J479" s="7" t="inlineStr">
        <is>
          <t>Utilities</t>
        </is>
      </c>
      <c r="K479" s="9" t="n">
        <v>2662.46</v>
      </c>
      <c r="L479" s="9" t="n">
        <v>38487.11</v>
      </c>
      <c r="M479" s="7" t="inlineStr">
        <is>
          <t>ATM</t>
        </is>
      </c>
      <c r="N479" s="7" t="inlineStr">
        <is>
          <t>N</t>
        </is>
      </c>
      <c r="O479" s="7">
        <f>TEXT(D479, "dddd")</f>
        <v/>
      </c>
      <c r="P479" s="7">
        <f>"Q"&amp;ROUNDUP(MONTH(D479)/3, 0)</f>
        <v/>
      </c>
    </row>
    <row r="480">
      <c r="A480" s="4" t="inlineStr">
        <is>
          <t>TXN100483</t>
        </is>
      </c>
      <c r="B480" s="4" t="inlineStr">
        <is>
          <t>CUST0483</t>
        </is>
      </c>
      <c r="C480" s="4" t="inlineStr">
        <is>
          <t>2026-06-01 22:42:00</t>
        </is>
      </c>
      <c r="D480" s="4">
        <f>TEXT(LEFT(C480,10),"YYYY-MM-DD")</f>
        <v/>
      </c>
      <c r="E480" s="5">
        <f>HOUR(C480)</f>
        <v/>
      </c>
      <c r="F480" s="4" t="inlineStr">
        <is>
          <t>Female</t>
        </is>
      </c>
      <c r="G480" s="5" t="n">
        <v>65</v>
      </c>
      <c r="H480" s="4">
        <f>IF(G480&gt;=60, "Boomer", IF(G480&gt;=45, "Gen X", IF(G480&gt;=25, "Millennial", "Gen Z")))</f>
        <v/>
      </c>
      <c r="I480" s="4" t="inlineStr">
        <is>
          <t>Checking</t>
        </is>
      </c>
      <c r="J480" s="4" t="inlineStr">
        <is>
          <t>Groceries</t>
        </is>
      </c>
      <c r="K480" s="6" t="n">
        <v>788.52</v>
      </c>
      <c r="L480" s="6" t="n">
        <v>33116.06</v>
      </c>
      <c r="M480" s="4" t="inlineStr">
        <is>
          <t>Mobile App</t>
        </is>
      </c>
      <c r="N480" s="4" t="inlineStr">
        <is>
          <t>N</t>
        </is>
      </c>
      <c r="O480" s="4">
        <f>TEXT(D480, "dddd")</f>
        <v/>
      </c>
      <c r="P480" s="4">
        <f>"Q"&amp;ROUNDUP(MONTH(D480)/3, 0)</f>
        <v/>
      </c>
    </row>
    <row r="481">
      <c r="A481" s="7" t="inlineStr">
        <is>
          <t>TXN100484</t>
        </is>
      </c>
      <c r="B481" s="7" t="inlineStr">
        <is>
          <t>CUST0484</t>
        </is>
      </c>
      <c r="C481" s="7" t="inlineStr">
        <is>
          <t>2026-06-01 10:22:00</t>
        </is>
      </c>
      <c r="D481" s="7">
        <f>TEXT(LEFT(C481,10),"YYYY-MM-DD")</f>
        <v/>
      </c>
      <c r="E481" s="8">
        <f>HOUR(C481)</f>
        <v/>
      </c>
      <c r="F481" s="7" t="inlineStr">
        <is>
          <t>Female</t>
        </is>
      </c>
      <c r="G481" s="8" t="n">
        <v>55</v>
      </c>
      <c r="H481" s="7">
        <f>IF(G481&gt;=60, "Boomer", IF(G481&gt;=45, "Gen X", IF(G481&gt;=25, "Millennial", "Gen Z")))</f>
        <v/>
      </c>
      <c r="I481" s="7" t="inlineStr">
        <is>
          <t>Investment</t>
        </is>
      </c>
      <c r="J481" s="7" t="inlineStr">
        <is>
          <t>Entertainment</t>
        </is>
      </c>
      <c r="K481" s="9" t="n">
        <v>5619.75</v>
      </c>
      <c r="L481" s="9" t="n">
        <v>2766.02</v>
      </c>
      <c r="M481" s="7" t="inlineStr">
        <is>
          <t>Online Banking</t>
        </is>
      </c>
      <c r="N481" s="7" t="inlineStr">
        <is>
          <t>N</t>
        </is>
      </c>
      <c r="O481" s="7">
        <f>TEXT(D481, "dddd")</f>
        <v/>
      </c>
      <c r="P481" s="7">
        <f>"Q"&amp;ROUNDUP(MONTH(D481)/3, 0)</f>
        <v/>
      </c>
    </row>
    <row r="482">
      <c r="A482" s="4" t="inlineStr">
        <is>
          <t>TXN100485</t>
        </is>
      </c>
      <c r="B482" s="4" t="inlineStr">
        <is>
          <t>CUST0485</t>
        </is>
      </c>
      <c r="C482" s="4" t="inlineStr">
        <is>
          <t>2026-06-01 15:08:00</t>
        </is>
      </c>
      <c r="D482" s="4">
        <f>TEXT(LEFT(C482,10),"YYYY-MM-DD")</f>
        <v/>
      </c>
      <c r="E482" s="5">
        <f>HOUR(C482)</f>
        <v/>
      </c>
      <c r="F482" s="4" t="inlineStr">
        <is>
          <t>Unspecified</t>
        </is>
      </c>
      <c r="G482" s="5" t="n">
        <v>26</v>
      </c>
      <c r="H482" s="4">
        <f>IF(G482&gt;=60, "Boomer", IF(G482&gt;=45, "Gen X", IF(G482&gt;=25, "Millennial", "Gen Z")))</f>
        <v/>
      </c>
      <c r="I482" s="4" t="inlineStr">
        <is>
          <t>Checking</t>
        </is>
      </c>
      <c r="J482" s="4" t="inlineStr">
        <is>
          <t>Travel</t>
        </is>
      </c>
      <c r="K482" s="6" t="n">
        <v>1575.41</v>
      </c>
      <c r="L482" s="6" t="n">
        <v>6476.92</v>
      </c>
      <c r="M482" s="4" t="inlineStr">
        <is>
          <t>ATM</t>
        </is>
      </c>
      <c r="N482" s="4" t="inlineStr">
        <is>
          <t>N</t>
        </is>
      </c>
      <c r="O482" s="4">
        <f>TEXT(D482, "dddd")</f>
        <v/>
      </c>
      <c r="P482" s="4">
        <f>"Q"&amp;ROUNDUP(MONTH(D482)/3, 0)</f>
        <v/>
      </c>
    </row>
    <row r="483">
      <c r="A483" s="7" t="inlineStr">
        <is>
          <t>TXN100486</t>
        </is>
      </c>
      <c r="B483" s="7" t="inlineStr">
        <is>
          <t>CUST0486</t>
        </is>
      </c>
      <c r="C483" s="7" t="inlineStr">
        <is>
          <t>2026-06-01 06:29:00</t>
        </is>
      </c>
      <c r="D483" s="7">
        <f>TEXT(LEFT(C483,10),"YYYY-MM-DD")</f>
        <v/>
      </c>
      <c r="E483" s="8">
        <f>HOUR(C483)</f>
        <v/>
      </c>
      <c r="F483" s="7" t="inlineStr">
        <is>
          <t>Female</t>
        </is>
      </c>
      <c r="G483" s="8" t="n">
        <v>65</v>
      </c>
      <c r="H483" s="7">
        <f>IF(G483&gt;=60, "Boomer", IF(G483&gt;=45, "Gen X", IF(G483&gt;=25, "Millennial", "Gen Z")))</f>
        <v/>
      </c>
      <c r="I483" s="7" t="inlineStr">
        <is>
          <t>Checking</t>
        </is>
      </c>
      <c r="J483" s="7" t="inlineStr">
        <is>
          <t>Groceries</t>
        </is>
      </c>
      <c r="K483" s="9" t="n">
        <v>6059.62</v>
      </c>
      <c r="L483" s="9" t="n">
        <v>2801.77</v>
      </c>
      <c r="M483" s="7" t="inlineStr">
        <is>
          <t>Mobile App</t>
        </is>
      </c>
      <c r="N483" s="7" t="inlineStr">
        <is>
          <t>N</t>
        </is>
      </c>
      <c r="O483" s="7">
        <f>TEXT(D483, "dddd")</f>
        <v/>
      </c>
      <c r="P483" s="7">
        <f>"Q"&amp;ROUNDUP(MONTH(D483)/3, 0)</f>
        <v/>
      </c>
    </row>
    <row r="484">
      <c r="A484" s="4" t="inlineStr">
        <is>
          <t>TXN100487</t>
        </is>
      </c>
      <c r="B484" s="4" t="inlineStr">
        <is>
          <t>CUST0487</t>
        </is>
      </c>
      <c r="C484" s="4" t="inlineStr">
        <is>
          <t>2026-06-01 14:29:00</t>
        </is>
      </c>
      <c r="D484" s="4">
        <f>TEXT(LEFT(C484,10),"YYYY-MM-DD")</f>
        <v/>
      </c>
      <c r="E484" s="5">
        <f>HOUR(C484)</f>
        <v/>
      </c>
      <c r="F484" s="4" t="inlineStr">
        <is>
          <t>Male</t>
        </is>
      </c>
      <c r="G484" s="5" t="n">
        <v>51</v>
      </c>
      <c r="H484" s="4">
        <f>IF(G484&gt;=60, "Boomer", IF(G484&gt;=45, "Gen X", IF(G484&gt;=25, "Millennial", "Gen Z")))</f>
        <v/>
      </c>
      <c r="I484" s="4" t="inlineStr">
        <is>
          <t>Savings</t>
        </is>
      </c>
      <c r="J484" s="4" t="inlineStr">
        <is>
          <t>Travel</t>
        </is>
      </c>
      <c r="K484" s="6" t="n">
        <v>5892.35</v>
      </c>
      <c r="L484" s="6" t="n">
        <v>27884.7</v>
      </c>
      <c r="M484" s="4" t="inlineStr">
        <is>
          <t>ATM</t>
        </is>
      </c>
      <c r="N484" s="4" t="inlineStr">
        <is>
          <t>N</t>
        </is>
      </c>
      <c r="O484" s="4">
        <f>TEXT(D484, "dddd")</f>
        <v/>
      </c>
      <c r="P484" s="4">
        <f>"Q"&amp;ROUNDUP(MONTH(D484)/3, 0)</f>
        <v/>
      </c>
    </row>
    <row r="485">
      <c r="A485" s="7" t="inlineStr">
        <is>
          <t>TXN100488</t>
        </is>
      </c>
      <c r="B485" s="7" t="inlineStr">
        <is>
          <t>CUST0488</t>
        </is>
      </c>
      <c r="C485" s="7" t="inlineStr">
        <is>
          <t>2026-06-01 18:30:00</t>
        </is>
      </c>
      <c r="D485" s="7">
        <f>TEXT(LEFT(C485,10),"YYYY-MM-DD")</f>
        <v/>
      </c>
      <c r="E485" s="8">
        <f>HOUR(C485)</f>
        <v/>
      </c>
      <c r="F485" s="7" t="inlineStr">
        <is>
          <t>Male</t>
        </is>
      </c>
      <c r="G485" s="8" t="n">
        <v>64</v>
      </c>
      <c r="H485" s="7">
        <f>IF(G485&gt;=60, "Boomer", IF(G485&gt;=45, "Gen X", IF(G485&gt;=25, "Millennial", "Gen Z")))</f>
        <v/>
      </c>
      <c r="I485" s="7" t="inlineStr">
        <is>
          <t>Investment</t>
        </is>
      </c>
      <c r="J485" s="7" t="inlineStr">
        <is>
          <t>Groceries</t>
        </is>
      </c>
      <c r="K485" s="9" t="n">
        <v>5846.65</v>
      </c>
      <c r="L485" s="9" t="n">
        <v>6854.9</v>
      </c>
      <c r="M485" s="7" t="inlineStr">
        <is>
          <t>ATM</t>
        </is>
      </c>
      <c r="N485" s="7" t="inlineStr">
        <is>
          <t>N</t>
        </is>
      </c>
      <c r="O485" s="7">
        <f>TEXT(D485, "dddd")</f>
        <v/>
      </c>
      <c r="P485" s="7">
        <f>"Q"&amp;ROUNDUP(MONTH(D485)/3, 0)</f>
        <v/>
      </c>
    </row>
    <row r="486">
      <c r="A486" s="4" t="inlineStr">
        <is>
          <t>TXN100489</t>
        </is>
      </c>
      <c r="B486" s="4" t="inlineStr">
        <is>
          <t>CUST0489</t>
        </is>
      </c>
      <c r="C486" s="4" t="inlineStr">
        <is>
          <t>2026-06-01 21:38:00</t>
        </is>
      </c>
      <c r="D486" s="4">
        <f>TEXT(LEFT(C486,10),"YYYY-MM-DD")</f>
        <v/>
      </c>
      <c r="E486" s="5">
        <f>HOUR(C486)</f>
        <v/>
      </c>
      <c r="F486" s="4" t="inlineStr">
        <is>
          <t>Female</t>
        </is>
      </c>
      <c r="G486" s="5" t="n">
        <v>52</v>
      </c>
      <c r="H486" s="4">
        <f>IF(G486&gt;=60, "Boomer", IF(G486&gt;=45, "Gen X", IF(G486&gt;=25, "Millennial", "Gen Z")))</f>
        <v/>
      </c>
      <c r="I486" s="4" t="inlineStr">
        <is>
          <t>Checking</t>
        </is>
      </c>
      <c r="J486" s="4" t="inlineStr">
        <is>
          <t>Utilities</t>
        </is>
      </c>
      <c r="K486" s="6" t="n">
        <v>7836.21</v>
      </c>
      <c r="L486" s="6" t="n">
        <v>45837.56</v>
      </c>
      <c r="M486" s="4" t="inlineStr">
        <is>
          <t>Online Banking</t>
        </is>
      </c>
      <c r="N486" s="4" t="inlineStr">
        <is>
          <t>N</t>
        </is>
      </c>
      <c r="O486" s="4">
        <f>TEXT(D486, "dddd")</f>
        <v/>
      </c>
      <c r="P486" s="4">
        <f>"Q"&amp;ROUNDUP(MONTH(D486)/3, 0)</f>
        <v/>
      </c>
    </row>
    <row r="487">
      <c r="A487" s="7" t="inlineStr">
        <is>
          <t>TXN100490</t>
        </is>
      </c>
      <c r="B487" s="7" t="inlineStr">
        <is>
          <t>CUST0490</t>
        </is>
      </c>
      <c r="C487" s="7" t="inlineStr">
        <is>
          <t>2026-06-01 10:18:00</t>
        </is>
      </c>
      <c r="D487" s="7">
        <f>TEXT(LEFT(C487,10),"YYYY-MM-DD")</f>
        <v/>
      </c>
      <c r="E487" s="8">
        <f>HOUR(C487)</f>
        <v/>
      </c>
      <c r="F487" s="7" t="inlineStr">
        <is>
          <t>Unspecified</t>
        </is>
      </c>
      <c r="G487" s="8" t="n">
        <v>71</v>
      </c>
      <c r="H487" s="7">
        <f>IF(G487&gt;=60, "Boomer", IF(G487&gt;=45, "Gen X", IF(G487&gt;=25, "Millennial", "Gen Z")))</f>
        <v/>
      </c>
      <c r="I487" s="7" t="inlineStr">
        <is>
          <t>Savings</t>
        </is>
      </c>
      <c r="J487" s="7" t="inlineStr">
        <is>
          <t>Groceries</t>
        </is>
      </c>
      <c r="K487" s="9" t="n">
        <v>3307.84</v>
      </c>
      <c r="L487" s="9" t="n">
        <v>35150.71</v>
      </c>
      <c r="M487" s="7" t="inlineStr">
        <is>
          <t>Branch Office</t>
        </is>
      </c>
      <c r="N487" s="7" t="inlineStr">
        <is>
          <t>N</t>
        </is>
      </c>
      <c r="O487" s="7">
        <f>TEXT(D487, "dddd")</f>
        <v/>
      </c>
      <c r="P487" s="7">
        <f>"Q"&amp;ROUNDUP(MONTH(D487)/3, 0)</f>
        <v/>
      </c>
    </row>
    <row r="488">
      <c r="A488" s="4" t="inlineStr">
        <is>
          <t>TXN100491</t>
        </is>
      </c>
      <c r="B488" s="4" t="inlineStr">
        <is>
          <t>CUST0491</t>
        </is>
      </c>
      <c r="C488" s="4" t="inlineStr">
        <is>
          <t>2026-06-01 22:35:00</t>
        </is>
      </c>
      <c r="D488" s="4">
        <f>TEXT(LEFT(C488,10),"YYYY-MM-DD")</f>
        <v/>
      </c>
      <c r="E488" s="5">
        <f>HOUR(C488)</f>
        <v/>
      </c>
      <c r="F488" s="4" t="inlineStr">
        <is>
          <t>Female</t>
        </is>
      </c>
      <c r="G488" s="5" t="n">
        <v>65</v>
      </c>
      <c r="H488" s="4">
        <f>IF(G488&gt;=60, "Boomer", IF(G488&gt;=45, "Gen X", IF(G488&gt;=25, "Millennial", "Gen Z")))</f>
        <v/>
      </c>
      <c r="I488" s="4" t="inlineStr">
        <is>
          <t>Investment</t>
        </is>
      </c>
      <c r="J488" s="4" t="inlineStr">
        <is>
          <t>Travel</t>
        </is>
      </c>
      <c r="K488" s="6" t="n">
        <v>5064.34</v>
      </c>
      <c r="L488" s="6" t="n">
        <v>10444.01</v>
      </c>
      <c r="M488" s="4" t="inlineStr">
        <is>
          <t>Branch Office</t>
        </is>
      </c>
      <c r="N488" s="4" t="inlineStr">
        <is>
          <t>N</t>
        </is>
      </c>
      <c r="O488" s="4">
        <f>TEXT(D488, "dddd")</f>
        <v/>
      </c>
      <c r="P488" s="4">
        <f>"Q"&amp;ROUNDUP(MONTH(D488)/3, 0)</f>
        <v/>
      </c>
    </row>
    <row r="489">
      <c r="A489" s="7" t="inlineStr">
        <is>
          <t>TXN100492</t>
        </is>
      </c>
      <c r="B489" s="7" t="inlineStr">
        <is>
          <t>CUST0492</t>
        </is>
      </c>
      <c r="C489" s="7" t="inlineStr">
        <is>
          <t>2026-06-01 21:22:00</t>
        </is>
      </c>
      <c r="D489" s="7">
        <f>TEXT(LEFT(C489,10),"YYYY-MM-DD")</f>
        <v/>
      </c>
      <c r="E489" s="8">
        <f>HOUR(C489)</f>
        <v/>
      </c>
      <c r="F489" s="7" t="inlineStr">
        <is>
          <t>Male</t>
        </is>
      </c>
      <c r="G489" s="8" t="n">
        <v>65</v>
      </c>
      <c r="H489" s="7">
        <f>IF(G489&gt;=60, "Boomer", IF(G489&gt;=45, "Gen X", IF(G489&gt;=25, "Millennial", "Gen Z")))</f>
        <v/>
      </c>
      <c r="I489" s="7" t="inlineStr">
        <is>
          <t>Investment</t>
        </is>
      </c>
      <c r="J489" s="7" t="inlineStr">
        <is>
          <t>Groceries</t>
        </is>
      </c>
      <c r="K489" s="9" t="n">
        <v>4036.11</v>
      </c>
      <c r="L489" s="9" t="n">
        <v>34868.44</v>
      </c>
      <c r="M489" s="7" t="inlineStr">
        <is>
          <t>Branch Office</t>
        </is>
      </c>
      <c r="N489" s="7" t="inlineStr">
        <is>
          <t>N</t>
        </is>
      </c>
      <c r="O489" s="7">
        <f>TEXT(D489, "dddd")</f>
        <v/>
      </c>
      <c r="P489" s="7">
        <f>"Q"&amp;ROUNDUP(MONTH(D489)/3, 0)</f>
        <v/>
      </c>
    </row>
    <row r="490">
      <c r="A490" s="4" t="inlineStr">
        <is>
          <t>TXN100493</t>
        </is>
      </c>
      <c r="B490" s="4" t="inlineStr">
        <is>
          <t>CUST0493</t>
        </is>
      </c>
      <c r="C490" s="4" t="inlineStr">
        <is>
          <t>2026-06-01 22:07:00</t>
        </is>
      </c>
      <c r="D490" s="4">
        <f>TEXT(LEFT(C490,10),"YYYY-MM-DD")</f>
        <v/>
      </c>
      <c r="E490" s="5">
        <f>HOUR(C490)</f>
        <v/>
      </c>
      <c r="F490" s="4" t="inlineStr">
        <is>
          <t>Female</t>
        </is>
      </c>
      <c r="G490" s="5" t="n">
        <v>55</v>
      </c>
      <c r="H490" s="4">
        <f>IF(G490&gt;=60, "Boomer", IF(G490&gt;=45, "Gen X", IF(G490&gt;=25, "Millennial", "Gen Z")))</f>
        <v/>
      </c>
      <c r="I490" s="4" t="inlineStr">
        <is>
          <t>Checking</t>
        </is>
      </c>
      <c r="J490" s="4" t="inlineStr">
        <is>
          <t>Travel</t>
        </is>
      </c>
      <c r="K490" s="6" t="n">
        <v>4569.4</v>
      </c>
      <c r="L490" s="6" t="n">
        <v>33524.28</v>
      </c>
      <c r="M490" s="4" t="inlineStr">
        <is>
          <t>ATM</t>
        </is>
      </c>
      <c r="N490" s="4" t="inlineStr">
        <is>
          <t>N</t>
        </is>
      </c>
      <c r="O490" s="4">
        <f>TEXT(D490, "dddd")</f>
        <v/>
      </c>
      <c r="P490" s="4">
        <f>"Q"&amp;ROUNDUP(MONTH(D490)/3, 0)</f>
        <v/>
      </c>
    </row>
    <row r="491">
      <c r="A491" s="7" t="inlineStr">
        <is>
          <t>TXN100494</t>
        </is>
      </c>
      <c r="B491" s="7" t="inlineStr">
        <is>
          <t>CUST0494</t>
        </is>
      </c>
      <c r="C491" s="7" t="inlineStr">
        <is>
          <t>2026-06-01 21:47:00</t>
        </is>
      </c>
      <c r="D491" s="7">
        <f>TEXT(LEFT(C491,10),"YYYY-MM-DD")</f>
        <v/>
      </c>
      <c r="E491" s="8">
        <f>HOUR(C491)</f>
        <v/>
      </c>
      <c r="F491" s="7" t="inlineStr">
        <is>
          <t>Female</t>
        </is>
      </c>
      <c r="G491" s="8" t="n">
        <v>74</v>
      </c>
      <c r="H491" s="7">
        <f>IF(G491&gt;=60, "Boomer", IF(G491&gt;=45, "Gen X", IF(G491&gt;=25, "Millennial", "Gen Z")))</f>
        <v/>
      </c>
      <c r="I491" s="7" t="inlineStr">
        <is>
          <t>Checking</t>
        </is>
      </c>
      <c r="J491" s="7" t="inlineStr">
        <is>
          <t>Groceries</t>
        </is>
      </c>
      <c r="K491" s="9" t="n">
        <v>4186.61</v>
      </c>
      <c r="L491" s="9" t="n">
        <v>1750.97</v>
      </c>
      <c r="M491" s="7" t="inlineStr">
        <is>
          <t>Online Banking</t>
        </is>
      </c>
      <c r="N491" s="7" t="inlineStr">
        <is>
          <t>N</t>
        </is>
      </c>
      <c r="O491" s="7">
        <f>TEXT(D491, "dddd")</f>
        <v/>
      </c>
      <c r="P491" s="7">
        <f>"Q"&amp;ROUNDUP(MONTH(D491)/3, 0)</f>
        <v/>
      </c>
    </row>
    <row r="492">
      <c r="A492" s="4" t="inlineStr">
        <is>
          <t>TXN100495</t>
        </is>
      </c>
      <c r="B492" s="4" t="inlineStr">
        <is>
          <t>CUST0495</t>
        </is>
      </c>
      <c r="C492" s="4" t="inlineStr">
        <is>
          <t>2026-06-01 01:42:00</t>
        </is>
      </c>
      <c r="D492" s="4">
        <f>TEXT(LEFT(C492,10),"YYYY-MM-DD")</f>
        <v/>
      </c>
      <c r="E492" s="5">
        <f>HOUR(C492)</f>
        <v/>
      </c>
      <c r="F492" s="4" t="inlineStr">
        <is>
          <t>Male</t>
        </is>
      </c>
      <c r="G492" s="5" t="n">
        <v>32</v>
      </c>
      <c r="H492" s="4">
        <f>IF(G492&gt;=60, "Boomer", IF(G492&gt;=45, "Gen X", IF(G492&gt;=25, "Millennial", "Gen Z")))</f>
        <v/>
      </c>
      <c r="I492" s="4" t="inlineStr">
        <is>
          <t>Checking</t>
        </is>
      </c>
      <c r="J492" s="4" t="inlineStr">
        <is>
          <t>Groceries</t>
        </is>
      </c>
      <c r="K492" s="6" t="n">
        <v>7868.42</v>
      </c>
      <c r="L492" s="6" t="n">
        <v>34327.82</v>
      </c>
      <c r="M492" s="4" t="inlineStr">
        <is>
          <t>Online Banking</t>
        </is>
      </c>
      <c r="N492" s="4" t="inlineStr">
        <is>
          <t>Y</t>
        </is>
      </c>
      <c r="O492" s="4">
        <f>TEXT(D492, "dddd")</f>
        <v/>
      </c>
      <c r="P492" s="4">
        <f>"Q"&amp;ROUNDUP(MONTH(D492)/3, 0)</f>
        <v/>
      </c>
    </row>
    <row r="493">
      <c r="A493" s="7" t="inlineStr">
        <is>
          <t>TXN100496</t>
        </is>
      </c>
      <c r="B493" s="7" t="inlineStr">
        <is>
          <t>CUST0496</t>
        </is>
      </c>
      <c r="C493" s="7" t="inlineStr">
        <is>
          <t>2026-06-01 22:50:00</t>
        </is>
      </c>
      <c r="D493" s="7">
        <f>TEXT(LEFT(C493,10),"YYYY-MM-DD")</f>
        <v/>
      </c>
      <c r="E493" s="8">
        <f>HOUR(C493)</f>
        <v/>
      </c>
      <c r="F493" s="7" t="inlineStr">
        <is>
          <t>Female</t>
        </is>
      </c>
      <c r="G493" s="8" t="n">
        <v>33</v>
      </c>
      <c r="H493" s="7">
        <f>IF(G493&gt;=60, "Boomer", IF(G493&gt;=45, "Gen X", IF(G493&gt;=25, "Millennial", "Gen Z")))</f>
        <v/>
      </c>
      <c r="I493" s="7" t="inlineStr">
        <is>
          <t>Investment</t>
        </is>
      </c>
      <c r="J493" s="7" t="inlineStr">
        <is>
          <t>Groceries</t>
        </is>
      </c>
      <c r="K493" s="9" t="n">
        <v>2875.87</v>
      </c>
      <c r="L493" s="9" t="n">
        <v>22903.43</v>
      </c>
      <c r="M493" s="7" t="inlineStr">
        <is>
          <t>Online Banking</t>
        </is>
      </c>
      <c r="N493" s="7" t="inlineStr">
        <is>
          <t>N</t>
        </is>
      </c>
      <c r="O493" s="7">
        <f>TEXT(D493, "dddd")</f>
        <v/>
      </c>
      <c r="P493" s="7">
        <f>"Q"&amp;ROUNDUP(MONTH(D493)/3, 0)</f>
        <v/>
      </c>
    </row>
    <row r="494">
      <c r="A494" s="4" t="inlineStr">
        <is>
          <t>TXN100497</t>
        </is>
      </c>
      <c r="B494" s="4" t="inlineStr">
        <is>
          <t>CUST0497</t>
        </is>
      </c>
      <c r="C494" s="4" t="inlineStr">
        <is>
          <t>2026-06-01 23:41:00</t>
        </is>
      </c>
      <c r="D494" s="4">
        <f>TEXT(LEFT(C494,10),"YYYY-MM-DD")</f>
        <v/>
      </c>
      <c r="E494" s="5">
        <f>HOUR(C494)</f>
        <v/>
      </c>
      <c r="F494" s="4" t="inlineStr">
        <is>
          <t>Unspecified</t>
        </is>
      </c>
      <c r="G494" s="5" t="n">
        <v>35</v>
      </c>
      <c r="H494" s="4">
        <f>IF(G494&gt;=60, "Boomer", IF(G494&gt;=45, "Gen X", IF(G494&gt;=25, "Millennial", "Gen Z")))</f>
        <v/>
      </c>
      <c r="I494" s="4" t="inlineStr">
        <is>
          <t>Investment</t>
        </is>
      </c>
      <c r="J494" s="4" t="inlineStr">
        <is>
          <t>Entertainment</t>
        </is>
      </c>
      <c r="K494" s="6" t="n">
        <v>5546.56</v>
      </c>
      <c r="L494" s="6" t="n">
        <v>2825.5</v>
      </c>
      <c r="M494" s="4" t="inlineStr">
        <is>
          <t>ATM</t>
        </is>
      </c>
      <c r="N494" s="4" t="inlineStr">
        <is>
          <t>N</t>
        </is>
      </c>
      <c r="O494" s="4">
        <f>TEXT(D494, "dddd")</f>
        <v/>
      </c>
      <c r="P494" s="4">
        <f>"Q"&amp;ROUNDUP(MONTH(D494)/3, 0)</f>
        <v/>
      </c>
    </row>
    <row r="495">
      <c r="A495" s="7" t="inlineStr">
        <is>
          <t>TXN100498</t>
        </is>
      </c>
      <c r="B495" s="7" t="inlineStr">
        <is>
          <t>CUST0498</t>
        </is>
      </c>
      <c r="C495" s="7" t="inlineStr">
        <is>
          <t>2026-06-01 12:26:00</t>
        </is>
      </c>
      <c r="D495" s="7">
        <f>TEXT(LEFT(C495,10),"YYYY-MM-DD")</f>
        <v/>
      </c>
      <c r="E495" s="8">
        <f>HOUR(C495)</f>
        <v/>
      </c>
      <c r="F495" s="7" t="inlineStr">
        <is>
          <t>Female</t>
        </is>
      </c>
      <c r="G495" s="8" t="n">
        <v>55</v>
      </c>
      <c r="H495" s="7">
        <f>IF(G495&gt;=60, "Boomer", IF(G495&gt;=45, "Gen X", IF(G495&gt;=25, "Millennial", "Gen Z")))</f>
        <v/>
      </c>
      <c r="I495" s="7" t="inlineStr">
        <is>
          <t>Savings</t>
        </is>
      </c>
      <c r="J495" s="7" t="inlineStr">
        <is>
          <t>Groceries</t>
        </is>
      </c>
      <c r="K495" s="9" t="n">
        <v>5951.92</v>
      </c>
      <c r="L495" s="9" t="n">
        <v>10552.82</v>
      </c>
      <c r="M495" s="7" t="inlineStr">
        <is>
          <t>ATM</t>
        </is>
      </c>
      <c r="N495" s="7" t="inlineStr">
        <is>
          <t>N</t>
        </is>
      </c>
      <c r="O495" s="7">
        <f>TEXT(D495, "dddd")</f>
        <v/>
      </c>
      <c r="P495" s="7">
        <f>"Q"&amp;ROUNDUP(MONTH(D495)/3, 0)</f>
        <v/>
      </c>
    </row>
    <row r="496">
      <c r="A496" s="4" t="inlineStr">
        <is>
          <t>TXN100499</t>
        </is>
      </c>
      <c r="B496" s="4" t="inlineStr">
        <is>
          <t>CUST0499</t>
        </is>
      </c>
      <c r="C496" s="4" t="inlineStr">
        <is>
          <t>2026-06-01 07:58:00</t>
        </is>
      </c>
      <c r="D496" s="4">
        <f>TEXT(LEFT(C496,10),"YYYY-MM-DD")</f>
        <v/>
      </c>
      <c r="E496" s="5">
        <f>HOUR(C496)</f>
        <v/>
      </c>
      <c r="F496" s="4" t="inlineStr">
        <is>
          <t>Female</t>
        </is>
      </c>
      <c r="G496" s="5" t="n">
        <v>68</v>
      </c>
      <c r="H496" s="4">
        <f>IF(G496&gt;=60, "Boomer", IF(G496&gt;=45, "Gen X", IF(G496&gt;=25, "Millennial", "Gen Z")))</f>
        <v/>
      </c>
      <c r="I496" s="4" t="inlineStr">
        <is>
          <t>Investment</t>
        </is>
      </c>
      <c r="J496" s="4" t="inlineStr">
        <is>
          <t>Travel</t>
        </is>
      </c>
      <c r="K496" s="6" t="n">
        <v>5910.22</v>
      </c>
      <c r="L496" s="6" t="n">
        <v>10225.22</v>
      </c>
      <c r="M496" s="4" t="inlineStr">
        <is>
          <t>Online Banking</t>
        </is>
      </c>
      <c r="N496" s="4" t="inlineStr">
        <is>
          <t>N</t>
        </is>
      </c>
      <c r="O496" s="4">
        <f>TEXT(D496, "dddd")</f>
        <v/>
      </c>
      <c r="P496" s="4">
        <f>"Q"&amp;ROUNDUP(MONTH(D496)/3, 0)</f>
        <v/>
      </c>
    </row>
    <row r="497">
      <c r="A497" s="7" t="inlineStr">
        <is>
          <t>TXN100500</t>
        </is>
      </c>
      <c r="B497" s="7" t="inlineStr">
        <is>
          <t>CUST0500</t>
        </is>
      </c>
      <c r="C497" s="7" t="inlineStr">
        <is>
          <t>2026-06-01 09:28:00</t>
        </is>
      </c>
      <c r="D497" s="7">
        <f>TEXT(LEFT(C497,10),"YYYY-MM-DD")</f>
        <v/>
      </c>
      <c r="E497" s="8">
        <f>HOUR(C497)</f>
        <v/>
      </c>
      <c r="F497" s="7" t="inlineStr">
        <is>
          <t>Male</t>
        </is>
      </c>
      <c r="G497" s="8" t="n">
        <v>63</v>
      </c>
      <c r="H497" s="7">
        <f>IF(G497&gt;=60, "Boomer", IF(G497&gt;=45, "Gen X", IF(G497&gt;=25, "Millennial", "Gen Z")))</f>
        <v/>
      </c>
      <c r="I497" s="7" t="inlineStr">
        <is>
          <t>Savings</t>
        </is>
      </c>
      <c r="J497" s="7" t="inlineStr">
        <is>
          <t>Groceries</t>
        </is>
      </c>
      <c r="K497" s="9" t="n">
        <v>7700.18</v>
      </c>
      <c r="L497" s="9" t="n">
        <v>36886.43</v>
      </c>
      <c r="M497" s="7" t="inlineStr">
        <is>
          <t>Mobile App</t>
        </is>
      </c>
      <c r="N497" s="7" t="inlineStr">
        <is>
          <t>N</t>
        </is>
      </c>
      <c r="O497" s="7">
        <f>TEXT(D497, "dddd")</f>
        <v/>
      </c>
      <c r="P497" s="7">
        <f>"Q"&amp;ROUNDUP(MONTH(D497)/3, 0)</f>
        <v/>
      </c>
    </row>
    <row r="498">
      <c r="A498" s="4" t="inlineStr">
        <is>
          <t>TXN100501</t>
        </is>
      </c>
      <c r="B498" s="4" t="inlineStr">
        <is>
          <t>CUST0501</t>
        </is>
      </c>
      <c r="C498" s="4" t="inlineStr">
        <is>
          <t>2026-06-01 13:17:00</t>
        </is>
      </c>
      <c r="D498" s="4">
        <f>TEXT(LEFT(C498,10),"YYYY-MM-DD")</f>
        <v/>
      </c>
      <c r="E498" s="5">
        <f>HOUR(C498)</f>
        <v/>
      </c>
      <c r="F498" s="4" t="inlineStr">
        <is>
          <t>Female</t>
        </is>
      </c>
      <c r="G498" s="5" t="n">
        <v>28</v>
      </c>
      <c r="H498" s="4">
        <f>IF(G498&gt;=60, "Boomer", IF(G498&gt;=45, "Gen X", IF(G498&gt;=25, "Millennial", "Gen Z")))</f>
        <v/>
      </c>
      <c r="I498" s="4" t="inlineStr">
        <is>
          <t>Savings</t>
        </is>
      </c>
      <c r="J498" s="4" t="inlineStr">
        <is>
          <t>Travel</t>
        </is>
      </c>
      <c r="K498" s="6" t="n">
        <v>6769.65</v>
      </c>
      <c r="L498" s="6" t="n">
        <v>779.4299999999999</v>
      </c>
      <c r="M498" s="4" t="inlineStr">
        <is>
          <t>ATM</t>
        </is>
      </c>
      <c r="N498" s="4" t="inlineStr">
        <is>
          <t>N</t>
        </is>
      </c>
      <c r="O498" s="4">
        <f>TEXT(D498, "dddd")</f>
        <v/>
      </c>
      <c r="P498" s="4">
        <f>"Q"&amp;ROUNDUP(MONTH(D498)/3, 0)</f>
        <v/>
      </c>
    </row>
    <row r="499">
      <c r="A499" s="7" t="inlineStr">
        <is>
          <t>TXN100502</t>
        </is>
      </c>
      <c r="B499" s="7" t="inlineStr">
        <is>
          <t>CUST0502</t>
        </is>
      </c>
      <c r="C499" s="7" t="inlineStr">
        <is>
          <t>2026-06-01 22:59:00</t>
        </is>
      </c>
      <c r="D499" s="7">
        <f>TEXT(LEFT(C499,10),"YYYY-MM-DD")</f>
        <v/>
      </c>
      <c r="E499" s="8">
        <f>HOUR(C499)</f>
        <v/>
      </c>
      <c r="F499" s="7" t="inlineStr">
        <is>
          <t>Male</t>
        </is>
      </c>
      <c r="G499" s="8" t="n">
        <v>22</v>
      </c>
      <c r="H499" s="7">
        <f>IF(G499&gt;=60, "Boomer", IF(G499&gt;=45, "Gen X", IF(G499&gt;=25, "Millennial", "Gen Z")))</f>
        <v/>
      </c>
      <c r="I499" s="7" t="inlineStr">
        <is>
          <t>Savings</t>
        </is>
      </c>
      <c r="J499" s="7" t="inlineStr">
        <is>
          <t>Entertainment</t>
        </is>
      </c>
      <c r="K499" s="9" t="n">
        <v>4779.07</v>
      </c>
      <c r="L499" s="9" t="n">
        <v>38796.22</v>
      </c>
      <c r="M499" s="7" t="inlineStr">
        <is>
          <t>Branch Office</t>
        </is>
      </c>
      <c r="N499" s="7" t="inlineStr">
        <is>
          <t>N</t>
        </is>
      </c>
      <c r="O499" s="7">
        <f>TEXT(D499, "dddd")</f>
        <v/>
      </c>
      <c r="P499" s="7">
        <f>"Q"&amp;ROUNDUP(MONTH(D499)/3, 0)</f>
        <v/>
      </c>
    </row>
    <row r="500">
      <c r="A500" s="4" t="inlineStr">
        <is>
          <t>TXN100503</t>
        </is>
      </c>
      <c r="B500" s="4" t="inlineStr">
        <is>
          <t>CUST0503</t>
        </is>
      </c>
      <c r="C500" s="4" t="inlineStr">
        <is>
          <t>2026-06-01 15:50:00</t>
        </is>
      </c>
      <c r="D500" s="4">
        <f>TEXT(LEFT(C500,10),"YYYY-MM-DD")</f>
        <v/>
      </c>
      <c r="E500" s="5">
        <f>HOUR(C500)</f>
        <v/>
      </c>
      <c r="F500" s="4" t="inlineStr">
        <is>
          <t>Female</t>
        </is>
      </c>
      <c r="G500" s="5" t="n">
        <v>24</v>
      </c>
      <c r="H500" s="4">
        <f>IF(G500&gt;=60, "Boomer", IF(G500&gt;=45, "Gen X", IF(G500&gt;=25, "Millennial", "Gen Z")))</f>
        <v/>
      </c>
      <c r="I500" s="4" t="inlineStr">
        <is>
          <t>Investment</t>
        </is>
      </c>
      <c r="J500" s="4" t="inlineStr">
        <is>
          <t>Entertainment</t>
        </is>
      </c>
      <c r="K500" s="6" t="n">
        <v>4207.91</v>
      </c>
      <c r="L500" s="6" t="n">
        <v>47870.89</v>
      </c>
      <c r="M500" s="4" t="inlineStr">
        <is>
          <t>Mobile App</t>
        </is>
      </c>
      <c r="N500" s="4" t="inlineStr">
        <is>
          <t>N</t>
        </is>
      </c>
      <c r="O500" s="4">
        <f>TEXT(D500, "dddd")</f>
        <v/>
      </c>
      <c r="P500" s="4">
        <f>"Q"&amp;ROUNDUP(MONTH(D500)/3, 0)</f>
        <v/>
      </c>
    </row>
    <row r="501">
      <c r="A501" s="7" t="inlineStr">
        <is>
          <t>TXN100504</t>
        </is>
      </c>
      <c r="B501" s="7" t="inlineStr">
        <is>
          <t>CUST0504</t>
        </is>
      </c>
      <c r="C501" s="7" t="inlineStr">
        <is>
          <t>2026-06-01 16:10:00</t>
        </is>
      </c>
      <c r="D501" s="7">
        <f>TEXT(LEFT(C501,10),"YYYY-MM-DD")</f>
        <v/>
      </c>
      <c r="E501" s="8">
        <f>HOUR(C501)</f>
        <v/>
      </c>
      <c r="F501" s="7" t="inlineStr">
        <is>
          <t>Unspecified</t>
        </is>
      </c>
      <c r="G501" s="8" t="n">
        <v>54</v>
      </c>
      <c r="H501" s="7">
        <f>IF(G501&gt;=60, "Boomer", IF(G501&gt;=45, "Gen X", IF(G501&gt;=25, "Millennial", "Gen Z")))</f>
        <v/>
      </c>
      <c r="I501" s="7" t="inlineStr">
        <is>
          <t>Investment</t>
        </is>
      </c>
      <c r="J501" s="7" t="inlineStr">
        <is>
          <t>Utilities</t>
        </is>
      </c>
      <c r="K501" s="9" t="n">
        <v>744.64</v>
      </c>
      <c r="L501" s="9" t="n">
        <v>11449.31</v>
      </c>
      <c r="M501" s="7" t="inlineStr">
        <is>
          <t>Online Banking</t>
        </is>
      </c>
      <c r="N501" s="7" t="inlineStr">
        <is>
          <t>N</t>
        </is>
      </c>
      <c r="O501" s="7">
        <f>TEXT(D501, "dddd")</f>
        <v/>
      </c>
      <c r="P501" s="7">
        <f>"Q"&amp;ROUNDUP(MONTH(D501)/3, 0)</f>
        <v/>
      </c>
    </row>
    <row r="502">
      <c r="A502" s="4" t="inlineStr">
        <is>
          <t>TXN100505</t>
        </is>
      </c>
      <c r="B502" s="4" t="inlineStr">
        <is>
          <t>CUST0505</t>
        </is>
      </c>
      <c r="C502" s="4" t="inlineStr">
        <is>
          <t>2026-06-01 21:21:00</t>
        </is>
      </c>
      <c r="D502" s="4">
        <f>TEXT(LEFT(C502,10),"YYYY-MM-DD")</f>
        <v/>
      </c>
      <c r="E502" s="5">
        <f>HOUR(C502)</f>
        <v/>
      </c>
      <c r="F502" s="4" t="inlineStr">
        <is>
          <t>Female</t>
        </is>
      </c>
      <c r="G502" s="5" t="n">
        <v>43</v>
      </c>
      <c r="H502" s="4">
        <f>IF(G502&gt;=60, "Boomer", IF(G502&gt;=45, "Gen X", IF(G502&gt;=25, "Millennial", "Gen Z")))</f>
        <v/>
      </c>
      <c r="I502" s="4" t="inlineStr">
        <is>
          <t>Checking</t>
        </is>
      </c>
      <c r="J502" s="4" t="inlineStr">
        <is>
          <t>Groceries</t>
        </is>
      </c>
      <c r="K502" s="6" t="n">
        <v>7602.96</v>
      </c>
      <c r="L502" s="6" t="n">
        <v>31104.89</v>
      </c>
      <c r="M502" s="4" t="inlineStr">
        <is>
          <t>ATM</t>
        </is>
      </c>
      <c r="N502" s="4" t="inlineStr">
        <is>
          <t>Y</t>
        </is>
      </c>
      <c r="O502" s="4">
        <f>TEXT(D502, "dddd")</f>
        <v/>
      </c>
      <c r="P502" s="4">
        <f>"Q"&amp;ROUNDUP(MONTH(D502)/3, 0)</f>
        <v/>
      </c>
    </row>
    <row r="503">
      <c r="A503" s="7" t="inlineStr">
        <is>
          <t>TXN100506</t>
        </is>
      </c>
      <c r="B503" s="7" t="inlineStr">
        <is>
          <t>CUST0506</t>
        </is>
      </c>
      <c r="C503" s="7" t="inlineStr">
        <is>
          <t>2026-06-01 20:00:00</t>
        </is>
      </c>
      <c r="D503" s="7">
        <f>TEXT(LEFT(C503,10),"YYYY-MM-DD")</f>
        <v/>
      </c>
      <c r="E503" s="8">
        <f>HOUR(C503)</f>
        <v/>
      </c>
      <c r="F503" s="7" t="inlineStr">
        <is>
          <t>Male</t>
        </is>
      </c>
      <c r="G503" s="8" t="n">
        <v>62</v>
      </c>
      <c r="H503" s="7">
        <f>IF(G503&gt;=60, "Boomer", IF(G503&gt;=45, "Gen X", IF(G503&gt;=25, "Millennial", "Gen Z")))</f>
        <v/>
      </c>
      <c r="I503" s="7" t="inlineStr">
        <is>
          <t>Checking</t>
        </is>
      </c>
      <c r="J503" s="7" t="inlineStr">
        <is>
          <t>Utilities</t>
        </is>
      </c>
      <c r="K503" s="9" t="n">
        <v>1930.38</v>
      </c>
      <c r="L503" s="9" t="n">
        <v>32292.09</v>
      </c>
      <c r="M503" s="7" t="inlineStr">
        <is>
          <t>Online Banking</t>
        </is>
      </c>
      <c r="N503" s="7" t="inlineStr">
        <is>
          <t>N</t>
        </is>
      </c>
      <c r="O503" s="7">
        <f>TEXT(D503, "dddd")</f>
        <v/>
      </c>
      <c r="P503" s="7">
        <f>"Q"&amp;ROUNDUP(MONTH(D503)/3, 0)</f>
        <v/>
      </c>
    </row>
    <row r="504">
      <c r="A504" s="4" t="inlineStr">
        <is>
          <t>TXN100507</t>
        </is>
      </c>
      <c r="B504" s="4" t="inlineStr">
        <is>
          <t>CUST0507</t>
        </is>
      </c>
      <c r="C504" s="4" t="inlineStr">
        <is>
          <t>2026-06-01 01:43:00</t>
        </is>
      </c>
      <c r="D504" s="4">
        <f>TEXT(LEFT(C504,10),"YYYY-MM-DD")</f>
        <v/>
      </c>
      <c r="E504" s="5">
        <f>HOUR(C504)</f>
        <v/>
      </c>
      <c r="F504" s="4" t="inlineStr">
        <is>
          <t>Female</t>
        </is>
      </c>
      <c r="G504" s="5" t="n">
        <v>44</v>
      </c>
      <c r="H504" s="4">
        <f>IF(G504&gt;=60, "Boomer", IF(G504&gt;=45, "Gen X", IF(G504&gt;=25, "Millennial", "Gen Z")))</f>
        <v/>
      </c>
      <c r="I504" s="4" t="inlineStr">
        <is>
          <t>Savings</t>
        </is>
      </c>
      <c r="J504" s="4" t="inlineStr">
        <is>
          <t>Utilities</t>
        </is>
      </c>
      <c r="K504" s="6" t="n">
        <v>2060.16</v>
      </c>
      <c r="L504" s="6" t="n">
        <v>36336.79</v>
      </c>
      <c r="M504" s="4" t="inlineStr">
        <is>
          <t>Mobile App</t>
        </is>
      </c>
      <c r="N504" s="4" t="inlineStr">
        <is>
          <t>N</t>
        </is>
      </c>
      <c r="O504" s="4">
        <f>TEXT(D504, "dddd")</f>
        <v/>
      </c>
      <c r="P504" s="4">
        <f>"Q"&amp;ROUNDUP(MONTH(D504)/3, 0)</f>
        <v/>
      </c>
    </row>
    <row r="505">
      <c r="A505" s="7" t="inlineStr">
        <is>
          <t>TXN100508</t>
        </is>
      </c>
      <c r="B505" s="7" t="inlineStr">
        <is>
          <t>CUST0508</t>
        </is>
      </c>
      <c r="C505" s="7" t="inlineStr">
        <is>
          <t>2026-06-01 16:52:00</t>
        </is>
      </c>
      <c r="D505" s="7">
        <f>TEXT(LEFT(C505,10),"YYYY-MM-DD")</f>
        <v/>
      </c>
      <c r="E505" s="8">
        <f>HOUR(C505)</f>
        <v/>
      </c>
      <c r="F505" s="7" t="inlineStr">
        <is>
          <t>Female</t>
        </is>
      </c>
      <c r="G505" s="8" t="n">
        <v>52</v>
      </c>
      <c r="H505" s="7">
        <f>IF(G505&gt;=60, "Boomer", IF(G505&gt;=45, "Gen X", IF(G505&gt;=25, "Millennial", "Gen Z")))</f>
        <v/>
      </c>
      <c r="I505" s="7" t="inlineStr">
        <is>
          <t>Investment</t>
        </is>
      </c>
      <c r="J505" s="7" t="inlineStr">
        <is>
          <t>Utilities</t>
        </is>
      </c>
      <c r="K505" s="9" t="n">
        <v>3899.57</v>
      </c>
      <c r="L505" s="9" t="n">
        <v>15173.48</v>
      </c>
      <c r="M505" s="7" t="inlineStr">
        <is>
          <t>Online Banking</t>
        </is>
      </c>
      <c r="N505" s="7" t="inlineStr">
        <is>
          <t>N</t>
        </is>
      </c>
      <c r="O505" s="7">
        <f>TEXT(D505, "dddd")</f>
        <v/>
      </c>
      <c r="P505" s="7">
        <f>"Q"&amp;ROUNDUP(MONTH(D505)/3, 0)</f>
        <v/>
      </c>
    </row>
    <row r="506">
      <c r="A506" s="4" t="inlineStr">
        <is>
          <t>TXN100509</t>
        </is>
      </c>
      <c r="B506" s="4" t="inlineStr">
        <is>
          <t>CUST0509</t>
        </is>
      </c>
      <c r="C506" s="4" t="inlineStr">
        <is>
          <t>2026-06-01 10:32:00</t>
        </is>
      </c>
      <c r="D506" s="4">
        <f>TEXT(LEFT(C506,10),"YYYY-MM-DD")</f>
        <v/>
      </c>
      <c r="E506" s="5">
        <f>HOUR(C506)</f>
        <v/>
      </c>
      <c r="F506" s="4" t="inlineStr">
        <is>
          <t>Male</t>
        </is>
      </c>
      <c r="G506" s="5" t="n">
        <v>26</v>
      </c>
      <c r="H506" s="4">
        <f>IF(G506&gt;=60, "Boomer", IF(G506&gt;=45, "Gen X", IF(G506&gt;=25, "Millennial", "Gen Z")))</f>
        <v/>
      </c>
      <c r="I506" s="4" t="inlineStr">
        <is>
          <t>Savings</t>
        </is>
      </c>
      <c r="J506" s="4" t="inlineStr">
        <is>
          <t>Travel</t>
        </is>
      </c>
      <c r="K506" s="6" t="n">
        <v>4270.31</v>
      </c>
      <c r="L506" s="6" t="n">
        <v>31533.19</v>
      </c>
      <c r="M506" s="4" t="inlineStr">
        <is>
          <t>Online Banking</t>
        </is>
      </c>
      <c r="N506" s="4" t="inlineStr">
        <is>
          <t>N</t>
        </is>
      </c>
      <c r="O506" s="4">
        <f>TEXT(D506, "dddd")</f>
        <v/>
      </c>
      <c r="P506" s="4">
        <f>"Q"&amp;ROUNDUP(MONTH(D506)/3, 0)</f>
        <v/>
      </c>
    </row>
    <row r="507">
      <c r="A507" s="7" t="inlineStr">
        <is>
          <t>TXN100510</t>
        </is>
      </c>
      <c r="B507" s="7" t="inlineStr">
        <is>
          <t>CUST0510</t>
        </is>
      </c>
      <c r="C507" s="7" t="inlineStr">
        <is>
          <t>2026-06-01 21:40:00</t>
        </is>
      </c>
      <c r="D507" s="7">
        <f>TEXT(LEFT(C507,10),"YYYY-MM-DD")</f>
        <v/>
      </c>
      <c r="E507" s="8">
        <f>HOUR(C507)</f>
        <v/>
      </c>
      <c r="F507" s="7" t="inlineStr">
        <is>
          <t>Female</t>
        </is>
      </c>
      <c r="G507" s="8" t="n">
        <v>75</v>
      </c>
      <c r="H507" s="7">
        <f>IF(G507&gt;=60, "Boomer", IF(G507&gt;=45, "Gen X", IF(G507&gt;=25, "Millennial", "Gen Z")))</f>
        <v/>
      </c>
      <c r="I507" s="7" t="inlineStr">
        <is>
          <t>Investment</t>
        </is>
      </c>
      <c r="J507" s="7" t="inlineStr">
        <is>
          <t>Utilities</t>
        </is>
      </c>
      <c r="K507" s="9" t="n">
        <v>6686.96</v>
      </c>
      <c r="L507" s="9" t="n">
        <v>10676.19</v>
      </c>
      <c r="M507" s="7" t="inlineStr">
        <is>
          <t>ATM</t>
        </is>
      </c>
      <c r="N507" s="7" t="inlineStr">
        <is>
          <t>N</t>
        </is>
      </c>
      <c r="O507" s="7">
        <f>TEXT(D507, "dddd")</f>
        <v/>
      </c>
      <c r="P507" s="7">
        <f>"Q"&amp;ROUNDUP(MONTH(D507)/3, 0)</f>
        <v/>
      </c>
    </row>
    <row r="508">
      <c r="A508" s="4" t="inlineStr">
        <is>
          <t>TXN100511</t>
        </is>
      </c>
      <c r="B508" s="4" t="inlineStr">
        <is>
          <t>CUST0511</t>
        </is>
      </c>
      <c r="C508" s="4" t="inlineStr">
        <is>
          <t>2026-06-01 20:52:00</t>
        </is>
      </c>
      <c r="D508" s="4">
        <f>TEXT(LEFT(C508,10),"YYYY-MM-DD")</f>
        <v/>
      </c>
      <c r="E508" s="5">
        <f>HOUR(C508)</f>
        <v/>
      </c>
      <c r="F508" s="4" t="inlineStr">
        <is>
          <t>Male</t>
        </is>
      </c>
      <c r="G508" s="5" t="n">
        <v>67</v>
      </c>
      <c r="H508" s="4">
        <f>IF(G508&gt;=60, "Boomer", IF(G508&gt;=45, "Gen X", IF(G508&gt;=25, "Millennial", "Gen Z")))</f>
        <v/>
      </c>
      <c r="I508" s="4" t="inlineStr">
        <is>
          <t>Investment</t>
        </is>
      </c>
      <c r="J508" s="4" t="inlineStr">
        <is>
          <t>Groceries</t>
        </is>
      </c>
      <c r="K508" s="6" t="n">
        <v>199.79</v>
      </c>
      <c r="L508" s="6" t="n">
        <v>35984.98</v>
      </c>
      <c r="M508" s="4" t="inlineStr">
        <is>
          <t>Mobile App</t>
        </is>
      </c>
      <c r="N508" s="4" t="inlineStr">
        <is>
          <t>N</t>
        </is>
      </c>
      <c r="O508" s="4">
        <f>TEXT(D508, "dddd")</f>
        <v/>
      </c>
      <c r="P508" s="4">
        <f>"Q"&amp;ROUNDUP(MONTH(D508)/3, 0)</f>
        <v/>
      </c>
    </row>
    <row r="509">
      <c r="A509" s="7" t="inlineStr">
        <is>
          <t>TXN100512</t>
        </is>
      </c>
      <c r="B509" s="7" t="inlineStr">
        <is>
          <t>CUST0512</t>
        </is>
      </c>
      <c r="C509" s="7" t="inlineStr">
        <is>
          <t>2026-06-01 02:04:00</t>
        </is>
      </c>
      <c r="D509" s="7">
        <f>TEXT(LEFT(C509,10),"YYYY-MM-DD")</f>
        <v/>
      </c>
      <c r="E509" s="8">
        <f>HOUR(C509)</f>
        <v/>
      </c>
      <c r="F509" s="7" t="inlineStr">
        <is>
          <t>Male</t>
        </is>
      </c>
      <c r="G509" s="8" t="n">
        <v>31</v>
      </c>
      <c r="H509" s="7">
        <f>IF(G509&gt;=60, "Boomer", IF(G509&gt;=45, "Gen X", IF(G509&gt;=25, "Millennial", "Gen Z")))</f>
        <v/>
      </c>
      <c r="I509" s="7" t="inlineStr">
        <is>
          <t>Checking</t>
        </is>
      </c>
      <c r="J509" s="7" t="inlineStr">
        <is>
          <t>Travel</t>
        </is>
      </c>
      <c r="K509" s="9" t="n">
        <v>572.83</v>
      </c>
      <c r="L509" s="9" t="n">
        <v>41170.16</v>
      </c>
      <c r="M509" s="7" t="inlineStr">
        <is>
          <t>Branch Office</t>
        </is>
      </c>
      <c r="N509" s="7" t="inlineStr">
        <is>
          <t>N</t>
        </is>
      </c>
      <c r="O509" s="7">
        <f>TEXT(D509, "dddd")</f>
        <v/>
      </c>
      <c r="P509" s="7">
        <f>"Q"&amp;ROUNDUP(MONTH(D509)/3, 0)</f>
        <v/>
      </c>
    </row>
    <row r="510">
      <c r="A510" s="4" t="inlineStr">
        <is>
          <t>TXN100513</t>
        </is>
      </c>
      <c r="B510" s="4" t="inlineStr">
        <is>
          <t>CUST0513</t>
        </is>
      </c>
      <c r="C510" s="4" t="inlineStr">
        <is>
          <t>2026-06-01 13:24:00</t>
        </is>
      </c>
      <c r="D510" s="4">
        <f>TEXT(LEFT(C510,10),"YYYY-MM-DD")</f>
        <v/>
      </c>
      <c r="E510" s="5">
        <f>HOUR(C510)</f>
        <v/>
      </c>
      <c r="F510" s="4" t="inlineStr">
        <is>
          <t>Unspecified</t>
        </is>
      </c>
      <c r="G510" s="5" t="n">
        <v>60</v>
      </c>
      <c r="H510" s="4">
        <f>IF(G510&gt;=60, "Boomer", IF(G510&gt;=45, "Gen X", IF(G510&gt;=25, "Millennial", "Gen Z")))</f>
        <v/>
      </c>
      <c r="I510" s="4" t="inlineStr">
        <is>
          <t>Checking</t>
        </is>
      </c>
      <c r="J510" s="4" t="inlineStr">
        <is>
          <t>Utilities</t>
        </is>
      </c>
      <c r="K510" s="6" t="n">
        <v>2538.07</v>
      </c>
      <c r="L510" s="6" t="n">
        <v>19780.34</v>
      </c>
      <c r="M510" s="4" t="inlineStr">
        <is>
          <t>Mobile App</t>
        </is>
      </c>
      <c r="N510" s="4" t="inlineStr">
        <is>
          <t>N</t>
        </is>
      </c>
      <c r="O510" s="4">
        <f>TEXT(D510, "dddd")</f>
        <v/>
      </c>
      <c r="P510" s="4">
        <f>"Q"&amp;ROUNDUP(MONTH(D510)/3, 0)</f>
        <v/>
      </c>
    </row>
    <row r="511">
      <c r="A511" s="7" t="inlineStr">
        <is>
          <t>TXN100514</t>
        </is>
      </c>
      <c r="B511" s="7" t="inlineStr">
        <is>
          <t>CUST0514</t>
        </is>
      </c>
      <c r="C511" s="7" t="inlineStr">
        <is>
          <t>2026-06-01 17:00:00</t>
        </is>
      </c>
      <c r="D511" s="7">
        <f>TEXT(LEFT(C511,10),"YYYY-MM-DD")</f>
        <v/>
      </c>
      <c r="E511" s="8">
        <f>HOUR(C511)</f>
        <v/>
      </c>
      <c r="F511" s="7" t="inlineStr">
        <is>
          <t>Male</t>
        </is>
      </c>
      <c r="G511" s="8" t="n">
        <v>68</v>
      </c>
      <c r="H511" s="7">
        <f>IF(G511&gt;=60, "Boomer", IF(G511&gt;=45, "Gen X", IF(G511&gt;=25, "Millennial", "Gen Z")))</f>
        <v/>
      </c>
      <c r="I511" s="7" t="inlineStr">
        <is>
          <t>Investment</t>
        </is>
      </c>
      <c r="J511" s="7" t="inlineStr">
        <is>
          <t>Travel</t>
        </is>
      </c>
      <c r="K511" s="9" t="n">
        <v>373.68</v>
      </c>
      <c r="L511" s="9" t="n">
        <v>42488.44</v>
      </c>
      <c r="M511" s="7" t="inlineStr">
        <is>
          <t>Branch Office</t>
        </is>
      </c>
      <c r="N511" s="7" t="inlineStr">
        <is>
          <t>N</t>
        </is>
      </c>
      <c r="O511" s="7">
        <f>TEXT(D511, "dddd")</f>
        <v/>
      </c>
      <c r="P511" s="7">
        <f>"Q"&amp;ROUNDUP(MONTH(D511)/3, 0)</f>
        <v/>
      </c>
    </row>
    <row r="512">
      <c r="A512" s="4" t="inlineStr">
        <is>
          <t>TXN100515</t>
        </is>
      </c>
      <c r="B512" s="4" t="inlineStr">
        <is>
          <t>CUST0515</t>
        </is>
      </c>
      <c r="C512" s="4" t="inlineStr">
        <is>
          <t>2026-06-01 16:06:00</t>
        </is>
      </c>
      <c r="D512" s="4">
        <f>TEXT(LEFT(C512,10),"YYYY-MM-DD")</f>
        <v/>
      </c>
      <c r="E512" s="5">
        <f>HOUR(C512)</f>
        <v/>
      </c>
      <c r="F512" s="4" t="inlineStr">
        <is>
          <t>Female</t>
        </is>
      </c>
      <c r="G512" s="5" t="n">
        <v>70</v>
      </c>
      <c r="H512" s="4">
        <f>IF(G512&gt;=60, "Boomer", IF(G512&gt;=45, "Gen X", IF(G512&gt;=25, "Millennial", "Gen Z")))</f>
        <v/>
      </c>
      <c r="I512" s="4" t="inlineStr">
        <is>
          <t>Investment</t>
        </is>
      </c>
      <c r="J512" s="4" t="inlineStr">
        <is>
          <t>Entertainment</t>
        </is>
      </c>
      <c r="K512" s="6" t="n">
        <v>4856.46</v>
      </c>
      <c r="L512" s="6" t="n">
        <v>14435.11</v>
      </c>
      <c r="M512" s="4" t="inlineStr">
        <is>
          <t>ATM</t>
        </is>
      </c>
      <c r="N512" s="4" t="inlineStr">
        <is>
          <t>N</t>
        </is>
      </c>
      <c r="O512" s="4">
        <f>TEXT(D512, "dddd")</f>
        <v/>
      </c>
      <c r="P512" s="4">
        <f>"Q"&amp;ROUNDUP(MONTH(D512)/3, 0)</f>
        <v/>
      </c>
    </row>
    <row r="513">
      <c r="A513" s="7" t="inlineStr">
        <is>
          <t>TXN100516</t>
        </is>
      </c>
      <c r="B513" s="7" t="inlineStr">
        <is>
          <t>CUST0516</t>
        </is>
      </c>
      <c r="C513" s="7" t="inlineStr">
        <is>
          <t>2026-06-01 12:25:00</t>
        </is>
      </c>
      <c r="D513" s="7">
        <f>TEXT(LEFT(C513,10),"YYYY-MM-DD")</f>
        <v/>
      </c>
      <c r="E513" s="8">
        <f>HOUR(C513)</f>
        <v/>
      </c>
      <c r="F513" s="7" t="inlineStr">
        <is>
          <t>Male</t>
        </is>
      </c>
      <c r="G513" s="8" t="n">
        <v>50</v>
      </c>
      <c r="H513" s="7">
        <f>IF(G513&gt;=60, "Boomer", IF(G513&gt;=45, "Gen X", IF(G513&gt;=25, "Millennial", "Gen Z")))</f>
        <v/>
      </c>
      <c r="I513" s="7" t="inlineStr">
        <is>
          <t>Savings</t>
        </is>
      </c>
      <c r="J513" s="7" t="inlineStr">
        <is>
          <t>Travel</t>
        </is>
      </c>
      <c r="K513" s="9" t="n">
        <v>1766.73</v>
      </c>
      <c r="L513" s="9" t="n">
        <v>37464.32</v>
      </c>
      <c r="M513" s="7" t="inlineStr">
        <is>
          <t>Branch Office</t>
        </is>
      </c>
      <c r="N513" s="7" t="inlineStr">
        <is>
          <t>N</t>
        </is>
      </c>
      <c r="O513" s="7">
        <f>TEXT(D513, "dddd")</f>
        <v/>
      </c>
      <c r="P513" s="7">
        <f>"Q"&amp;ROUNDUP(MONTH(D513)/3, 0)</f>
        <v/>
      </c>
    </row>
    <row r="514">
      <c r="A514" s="4" t="inlineStr">
        <is>
          <t>TXN100517</t>
        </is>
      </c>
      <c r="B514" s="4" t="inlineStr">
        <is>
          <t>CUST0517</t>
        </is>
      </c>
      <c r="C514" s="4" t="inlineStr">
        <is>
          <t>2026-06-01 20:09:00</t>
        </is>
      </c>
      <c r="D514" s="4">
        <f>TEXT(LEFT(C514,10),"YYYY-MM-DD")</f>
        <v/>
      </c>
      <c r="E514" s="5">
        <f>HOUR(C514)</f>
        <v/>
      </c>
      <c r="F514" s="4" t="inlineStr">
        <is>
          <t>Female</t>
        </is>
      </c>
      <c r="G514" s="5" t="n">
        <v>63</v>
      </c>
      <c r="H514" s="4">
        <f>IF(G514&gt;=60, "Boomer", IF(G514&gt;=45, "Gen X", IF(G514&gt;=25, "Millennial", "Gen Z")))</f>
        <v/>
      </c>
      <c r="I514" s="4" t="inlineStr">
        <is>
          <t>Investment</t>
        </is>
      </c>
      <c r="J514" s="4" t="inlineStr">
        <is>
          <t>Entertainment</t>
        </is>
      </c>
      <c r="K514" s="6" t="n">
        <v>7659.56</v>
      </c>
      <c r="L514" s="6" t="n">
        <v>1051.94</v>
      </c>
      <c r="M514" s="4" t="inlineStr">
        <is>
          <t>Online Banking</t>
        </is>
      </c>
      <c r="N514" s="4" t="inlineStr">
        <is>
          <t>N</t>
        </is>
      </c>
      <c r="O514" s="4">
        <f>TEXT(D514, "dddd")</f>
        <v/>
      </c>
      <c r="P514" s="4">
        <f>"Q"&amp;ROUNDUP(MONTH(D514)/3, 0)</f>
        <v/>
      </c>
    </row>
    <row r="515">
      <c r="A515" s="7" t="inlineStr">
        <is>
          <t>TXN100518</t>
        </is>
      </c>
      <c r="B515" s="7" t="inlineStr">
        <is>
          <t>CUST0518</t>
        </is>
      </c>
      <c r="C515" s="7" t="inlineStr">
        <is>
          <t>2026-06-01 00:36:00</t>
        </is>
      </c>
      <c r="D515" s="7">
        <f>TEXT(LEFT(C515,10),"YYYY-MM-DD")</f>
        <v/>
      </c>
      <c r="E515" s="8">
        <f>HOUR(C515)</f>
        <v/>
      </c>
      <c r="F515" s="7" t="inlineStr">
        <is>
          <t>Unspecified</t>
        </is>
      </c>
      <c r="G515" s="8" t="n">
        <v>54</v>
      </c>
      <c r="H515" s="7">
        <f>IF(G515&gt;=60, "Boomer", IF(G515&gt;=45, "Gen X", IF(G515&gt;=25, "Millennial", "Gen Z")))</f>
        <v/>
      </c>
      <c r="I515" s="7" t="inlineStr">
        <is>
          <t>Investment</t>
        </is>
      </c>
      <c r="J515" s="7" t="inlineStr">
        <is>
          <t>Groceries</t>
        </is>
      </c>
      <c r="K515" s="9" t="n">
        <v>2444.48</v>
      </c>
      <c r="L515" s="9" t="n">
        <v>37540.68</v>
      </c>
      <c r="M515" s="7" t="inlineStr">
        <is>
          <t>Branch Office</t>
        </is>
      </c>
      <c r="N515" s="7" t="inlineStr">
        <is>
          <t>N</t>
        </is>
      </c>
      <c r="O515" s="7">
        <f>TEXT(D515, "dddd")</f>
        <v/>
      </c>
      <c r="P515" s="7">
        <f>"Q"&amp;ROUNDUP(MONTH(D515)/3, 0)</f>
        <v/>
      </c>
    </row>
    <row r="516">
      <c r="A516" s="4" t="inlineStr">
        <is>
          <t>TXN100519</t>
        </is>
      </c>
      <c r="B516" s="4" t="inlineStr">
        <is>
          <t>CUST0519</t>
        </is>
      </c>
      <c r="C516" s="4" t="inlineStr">
        <is>
          <t>2026-06-01 06:26:00</t>
        </is>
      </c>
      <c r="D516" s="4">
        <f>TEXT(LEFT(C516,10),"YYYY-MM-DD")</f>
        <v/>
      </c>
      <c r="E516" s="5">
        <f>HOUR(C516)</f>
        <v/>
      </c>
      <c r="F516" s="4" t="inlineStr">
        <is>
          <t>Male</t>
        </is>
      </c>
      <c r="G516" s="5" t="n">
        <v>30</v>
      </c>
      <c r="H516" s="4">
        <f>IF(G516&gt;=60, "Boomer", IF(G516&gt;=45, "Gen X", IF(G516&gt;=25, "Millennial", "Gen Z")))</f>
        <v/>
      </c>
      <c r="I516" s="4" t="inlineStr">
        <is>
          <t>Savings</t>
        </is>
      </c>
      <c r="J516" s="4" t="inlineStr">
        <is>
          <t>Groceries</t>
        </is>
      </c>
      <c r="K516" s="6" t="n">
        <v>4938.91</v>
      </c>
      <c r="L516" s="6" t="n">
        <v>13010.72</v>
      </c>
      <c r="M516" s="4" t="inlineStr">
        <is>
          <t>Mobile App</t>
        </is>
      </c>
      <c r="N516" s="4" t="inlineStr">
        <is>
          <t>N</t>
        </is>
      </c>
      <c r="O516" s="4">
        <f>TEXT(D516, "dddd")</f>
        <v/>
      </c>
      <c r="P516" s="4">
        <f>"Q"&amp;ROUNDUP(MONTH(D516)/3, 0)</f>
        <v/>
      </c>
    </row>
    <row r="517">
      <c r="A517" s="7" t="inlineStr">
        <is>
          <t>TXN100520</t>
        </is>
      </c>
      <c r="B517" s="7" t="inlineStr">
        <is>
          <t>CUST0520</t>
        </is>
      </c>
      <c r="C517" s="7" t="inlineStr">
        <is>
          <t>2026-06-01 05:42:00</t>
        </is>
      </c>
      <c r="D517" s="7">
        <f>TEXT(LEFT(C517,10),"YYYY-MM-DD")</f>
        <v/>
      </c>
      <c r="E517" s="8">
        <f>HOUR(C517)</f>
        <v/>
      </c>
      <c r="F517" s="7" t="inlineStr">
        <is>
          <t>Male</t>
        </is>
      </c>
      <c r="G517" s="8" t="n">
        <v>74</v>
      </c>
      <c r="H517" s="7">
        <f>IF(G517&gt;=60, "Boomer", IF(G517&gt;=45, "Gen X", IF(G517&gt;=25, "Millennial", "Gen Z")))</f>
        <v/>
      </c>
      <c r="I517" s="7" t="inlineStr">
        <is>
          <t>Investment</t>
        </is>
      </c>
      <c r="J517" s="7" t="inlineStr">
        <is>
          <t>Utilities</t>
        </is>
      </c>
      <c r="K517" s="9" t="n">
        <v>5160.95</v>
      </c>
      <c r="L517" s="9" t="n">
        <v>4120.66</v>
      </c>
      <c r="M517" s="7" t="inlineStr">
        <is>
          <t>Mobile App</t>
        </is>
      </c>
      <c r="N517" s="7" t="inlineStr">
        <is>
          <t>N</t>
        </is>
      </c>
      <c r="O517" s="7">
        <f>TEXT(D517, "dddd")</f>
        <v/>
      </c>
      <c r="P517" s="7">
        <f>"Q"&amp;ROUNDUP(MONTH(D517)/3, 0)</f>
        <v/>
      </c>
    </row>
    <row r="518">
      <c r="A518" s="4" t="inlineStr">
        <is>
          <t>TXN100521</t>
        </is>
      </c>
      <c r="B518" s="4" t="inlineStr">
        <is>
          <t>CUST0521</t>
        </is>
      </c>
      <c r="C518" s="4" t="inlineStr">
        <is>
          <t>2026-06-01 08:06:00</t>
        </is>
      </c>
      <c r="D518" s="4">
        <f>TEXT(LEFT(C518,10),"YYYY-MM-DD")</f>
        <v/>
      </c>
      <c r="E518" s="5">
        <f>HOUR(C518)</f>
        <v/>
      </c>
      <c r="F518" s="4" t="inlineStr">
        <is>
          <t>Female</t>
        </is>
      </c>
      <c r="G518" s="5" t="n">
        <v>66</v>
      </c>
      <c r="H518" s="4">
        <f>IF(G518&gt;=60, "Boomer", IF(G518&gt;=45, "Gen X", IF(G518&gt;=25, "Millennial", "Gen Z")))</f>
        <v/>
      </c>
      <c r="I518" s="4" t="inlineStr">
        <is>
          <t>Investment</t>
        </is>
      </c>
      <c r="J518" s="4" t="inlineStr">
        <is>
          <t>Utilities</t>
        </is>
      </c>
      <c r="K518" s="6" t="n">
        <v>7612.8</v>
      </c>
      <c r="L518" s="6" t="n">
        <v>18178.35</v>
      </c>
      <c r="M518" s="4" t="inlineStr">
        <is>
          <t>Online Banking</t>
        </is>
      </c>
      <c r="N518" s="4" t="inlineStr">
        <is>
          <t>N</t>
        </is>
      </c>
      <c r="O518" s="4">
        <f>TEXT(D518, "dddd")</f>
        <v/>
      </c>
      <c r="P518" s="4">
        <f>"Q"&amp;ROUNDUP(MONTH(D518)/3, 0)</f>
        <v/>
      </c>
    </row>
    <row r="519">
      <c r="A519" s="7" t="inlineStr">
        <is>
          <t>TXN100522</t>
        </is>
      </c>
      <c r="B519" s="7" t="inlineStr">
        <is>
          <t>CUST0522</t>
        </is>
      </c>
      <c r="C519" s="7" t="inlineStr">
        <is>
          <t>2026-06-01 19:04:00</t>
        </is>
      </c>
      <c r="D519" s="7">
        <f>TEXT(LEFT(C519,10),"YYYY-MM-DD")</f>
        <v/>
      </c>
      <c r="E519" s="8">
        <f>HOUR(C519)</f>
        <v/>
      </c>
      <c r="F519" s="7" t="inlineStr">
        <is>
          <t>Female</t>
        </is>
      </c>
      <c r="G519" s="8" t="n">
        <v>40</v>
      </c>
      <c r="H519" s="7">
        <f>IF(G519&gt;=60, "Boomer", IF(G519&gt;=45, "Gen X", IF(G519&gt;=25, "Millennial", "Gen Z")))</f>
        <v/>
      </c>
      <c r="I519" s="7" t="inlineStr">
        <is>
          <t>Checking</t>
        </is>
      </c>
      <c r="J519" s="7" t="inlineStr">
        <is>
          <t>Utilities</t>
        </is>
      </c>
      <c r="K519" s="9" t="n">
        <v>2633.49</v>
      </c>
      <c r="L519" s="9" t="n">
        <v>33141.4</v>
      </c>
      <c r="M519" s="7" t="inlineStr">
        <is>
          <t>Online Banking</t>
        </is>
      </c>
      <c r="N519" s="7" t="inlineStr">
        <is>
          <t>N</t>
        </is>
      </c>
      <c r="O519" s="7">
        <f>TEXT(D519, "dddd")</f>
        <v/>
      </c>
      <c r="P519" s="7">
        <f>"Q"&amp;ROUNDUP(MONTH(D519)/3, 0)</f>
        <v/>
      </c>
    </row>
    <row r="520">
      <c r="A520" s="4" t="inlineStr">
        <is>
          <t>TXN100523</t>
        </is>
      </c>
      <c r="B520" s="4" t="inlineStr">
        <is>
          <t>CUST0523</t>
        </is>
      </c>
      <c r="C520" s="4" t="inlineStr">
        <is>
          <t>2026-06-01 18:36:00</t>
        </is>
      </c>
      <c r="D520" s="4">
        <f>TEXT(LEFT(C520,10),"YYYY-MM-DD")</f>
        <v/>
      </c>
      <c r="E520" s="5">
        <f>HOUR(C520)</f>
        <v/>
      </c>
      <c r="F520" s="4" t="inlineStr">
        <is>
          <t>Female</t>
        </is>
      </c>
      <c r="G520" s="5" t="n">
        <v>71</v>
      </c>
      <c r="H520" s="4">
        <f>IF(G520&gt;=60, "Boomer", IF(G520&gt;=45, "Gen X", IF(G520&gt;=25, "Millennial", "Gen Z")))</f>
        <v/>
      </c>
      <c r="I520" s="4" t="inlineStr">
        <is>
          <t>Checking</t>
        </is>
      </c>
      <c r="J520" s="4" t="inlineStr">
        <is>
          <t>Utilities</t>
        </is>
      </c>
      <c r="K520" s="6" t="n">
        <v>1357.43</v>
      </c>
      <c r="L520" s="6" t="n">
        <v>16004.13</v>
      </c>
      <c r="M520" s="4" t="inlineStr">
        <is>
          <t>Online Banking</t>
        </is>
      </c>
      <c r="N520" s="4" t="inlineStr">
        <is>
          <t>N</t>
        </is>
      </c>
      <c r="O520" s="4">
        <f>TEXT(D520, "dddd")</f>
        <v/>
      </c>
      <c r="P520" s="4">
        <f>"Q"&amp;ROUNDUP(MONTH(D520)/3, 0)</f>
        <v/>
      </c>
    </row>
    <row r="521">
      <c r="A521" s="7" t="inlineStr">
        <is>
          <t>TXN100524</t>
        </is>
      </c>
      <c r="B521" s="7" t="inlineStr">
        <is>
          <t>CUST0524</t>
        </is>
      </c>
      <c r="C521" s="7" t="inlineStr">
        <is>
          <t>2026-06-01 22:47:00</t>
        </is>
      </c>
      <c r="D521" s="7">
        <f>TEXT(LEFT(C521,10),"YYYY-MM-DD")</f>
        <v/>
      </c>
      <c r="E521" s="8">
        <f>HOUR(C521)</f>
        <v/>
      </c>
      <c r="F521" s="7" t="inlineStr">
        <is>
          <t>Unspecified</t>
        </is>
      </c>
      <c r="G521" s="8" t="n">
        <v>37</v>
      </c>
      <c r="H521" s="7">
        <f>IF(G521&gt;=60, "Boomer", IF(G521&gt;=45, "Gen X", IF(G521&gt;=25, "Millennial", "Gen Z")))</f>
        <v/>
      </c>
      <c r="I521" s="7" t="inlineStr">
        <is>
          <t>Checking</t>
        </is>
      </c>
      <c r="J521" s="7" t="inlineStr">
        <is>
          <t>Groceries</t>
        </is>
      </c>
      <c r="K521" s="9" t="n">
        <v>5439.85</v>
      </c>
      <c r="L521" s="9" t="n">
        <v>16912.37</v>
      </c>
      <c r="M521" s="7" t="inlineStr">
        <is>
          <t>ATM</t>
        </is>
      </c>
      <c r="N521" s="7" t="inlineStr">
        <is>
          <t>N</t>
        </is>
      </c>
      <c r="O521" s="7">
        <f>TEXT(D521, "dddd")</f>
        <v/>
      </c>
      <c r="P521" s="7">
        <f>"Q"&amp;ROUNDUP(MONTH(D521)/3, 0)</f>
        <v/>
      </c>
    </row>
    <row r="522">
      <c r="A522" s="4" t="inlineStr">
        <is>
          <t>TXN100525</t>
        </is>
      </c>
      <c r="B522" s="4" t="inlineStr">
        <is>
          <t>CUST0525</t>
        </is>
      </c>
      <c r="C522" s="4" t="inlineStr">
        <is>
          <t>2026-06-01 14:28:00</t>
        </is>
      </c>
      <c r="D522" s="4">
        <f>TEXT(LEFT(C522,10),"YYYY-MM-DD")</f>
        <v/>
      </c>
      <c r="E522" s="5">
        <f>HOUR(C522)</f>
        <v/>
      </c>
      <c r="F522" s="4" t="inlineStr">
        <is>
          <t>Female</t>
        </is>
      </c>
      <c r="G522" s="5" t="n">
        <v>69</v>
      </c>
      <c r="H522" s="4">
        <f>IF(G522&gt;=60, "Boomer", IF(G522&gt;=45, "Gen X", IF(G522&gt;=25, "Millennial", "Gen Z")))</f>
        <v/>
      </c>
      <c r="I522" s="4" t="inlineStr">
        <is>
          <t>Checking</t>
        </is>
      </c>
      <c r="J522" s="4" t="inlineStr">
        <is>
          <t>Utilities</t>
        </is>
      </c>
      <c r="K522" s="6" t="n">
        <v>4417.86</v>
      </c>
      <c r="L522" s="6" t="n">
        <v>9200.620000000001</v>
      </c>
      <c r="M522" s="4" t="inlineStr">
        <is>
          <t>Mobile App</t>
        </is>
      </c>
      <c r="N522" s="4" t="inlineStr">
        <is>
          <t>N</t>
        </is>
      </c>
      <c r="O522" s="4">
        <f>TEXT(D522, "dddd")</f>
        <v/>
      </c>
      <c r="P522" s="4">
        <f>"Q"&amp;ROUNDUP(MONTH(D522)/3, 0)</f>
        <v/>
      </c>
    </row>
    <row r="523">
      <c r="A523" s="7" t="inlineStr">
        <is>
          <t>TXN100526</t>
        </is>
      </c>
      <c r="B523" s="7" t="inlineStr">
        <is>
          <t>CUST0526</t>
        </is>
      </c>
      <c r="C523" s="7" t="inlineStr">
        <is>
          <t>2026-06-01 08:54:00</t>
        </is>
      </c>
      <c r="D523" s="7">
        <f>TEXT(LEFT(C523,10),"YYYY-MM-DD")</f>
        <v/>
      </c>
      <c r="E523" s="8">
        <f>HOUR(C523)</f>
        <v/>
      </c>
      <c r="F523" s="7" t="inlineStr">
        <is>
          <t>Male</t>
        </is>
      </c>
      <c r="G523" s="8" t="n">
        <v>54</v>
      </c>
      <c r="H523" s="7">
        <f>IF(G523&gt;=60, "Boomer", IF(G523&gt;=45, "Gen X", IF(G523&gt;=25, "Millennial", "Gen Z")))</f>
        <v/>
      </c>
      <c r="I523" s="7" t="inlineStr">
        <is>
          <t>Savings</t>
        </is>
      </c>
      <c r="J523" s="7" t="inlineStr">
        <is>
          <t>Entertainment</t>
        </is>
      </c>
      <c r="K523" s="9" t="n">
        <v>5871.02</v>
      </c>
      <c r="L523" s="9" t="n">
        <v>31517.63</v>
      </c>
      <c r="M523" s="7" t="inlineStr">
        <is>
          <t>Mobile App</t>
        </is>
      </c>
      <c r="N523" s="7" t="inlineStr">
        <is>
          <t>N</t>
        </is>
      </c>
      <c r="O523" s="7">
        <f>TEXT(D523, "dddd")</f>
        <v/>
      </c>
      <c r="P523" s="7">
        <f>"Q"&amp;ROUNDUP(MONTH(D523)/3, 0)</f>
        <v/>
      </c>
    </row>
    <row r="524">
      <c r="A524" s="4" t="inlineStr">
        <is>
          <t>TXN100527</t>
        </is>
      </c>
      <c r="B524" s="4" t="inlineStr">
        <is>
          <t>CUST0527</t>
        </is>
      </c>
      <c r="C524" s="4" t="inlineStr">
        <is>
          <t>2026-06-01 00:54:00</t>
        </is>
      </c>
      <c r="D524" s="4">
        <f>TEXT(LEFT(C524,10),"YYYY-MM-DD")</f>
        <v/>
      </c>
      <c r="E524" s="5">
        <f>HOUR(C524)</f>
        <v/>
      </c>
      <c r="F524" s="4" t="inlineStr">
        <is>
          <t>Male</t>
        </is>
      </c>
      <c r="G524" s="5" t="n">
        <v>72</v>
      </c>
      <c r="H524" s="4">
        <f>IF(G524&gt;=60, "Boomer", IF(G524&gt;=45, "Gen X", IF(G524&gt;=25, "Millennial", "Gen Z")))</f>
        <v/>
      </c>
      <c r="I524" s="4" t="inlineStr">
        <is>
          <t>Investment</t>
        </is>
      </c>
      <c r="J524" s="4" t="inlineStr">
        <is>
          <t>Travel</t>
        </is>
      </c>
      <c r="K524" s="6" t="n">
        <v>3247.02</v>
      </c>
      <c r="L524" s="6" t="n">
        <v>29706.8</v>
      </c>
      <c r="M524" s="4" t="inlineStr">
        <is>
          <t>Mobile App</t>
        </is>
      </c>
      <c r="N524" s="4" t="inlineStr">
        <is>
          <t>N</t>
        </is>
      </c>
      <c r="O524" s="4">
        <f>TEXT(D524, "dddd")</f>
        <v/>
      </c>
      <c r="P524" s="4">
        <f>"Q"&amp;ROUNDUP(MONTH(D524)/3, 0)</f>
        <v/>
      </c>
    </row>
    <row r="525">
      <c r="A525" s="7" t="inlineStr">
        <is>
          <t>TXN100528</t>
        </is>
      </c>
      <c r="B525" s="7" t="inlineStr">
        <is>
          <t>CUST0528</t>
        </is>
      </c>
      <c r="C525" s="7" t="inlineStr">
        <is>
          <t>2026-06-01 17:16:00</t>
        </is>
      </c>
      <c r="D525" s="7">
        <f>TEXT(LEFT(C525,10),"YYYY-MM-DD")</f>
        <v/>
      </c>
      <c r="E525" s="8">
        <f>HOUR(C525)</f>
        <v/>
      </c>
      <c r="F525" s="7" t="inlineStr">
        <is>
          <t>Unspecified</t>
        </is>
      </c>
      <c r="G525" s="8" t="n">
        <v>61</v>
      </c>
      <c r="H525" s="7">
        <f>IF(G525&gt;=60, "Boomer", IF(G525&gt;=45, "Gen X", IF(G525&gt;=25, "Millennial", "Gen Z")))</f>
        <v/>
      </c>
      <c r="I525" s="7" t="inlineStr">
        <is>
          <t>Savings</t>
        </is>
      </c>
      <c r="J525" s="7" t="inlineStr">
        <is>
          <t>Entertainment</t>
        </is>
      </c>
      <c r="K525" s="9" t="n">
        <v>3146.06</v>
      </c>
      <c r="L525" s="9" t="n">
        <v>44626.16</v>
      </c>
      <c r="M525" s="7" t="inlineStr">
        <is>
          <t>Branch Office</t>
        </is>
      </c>
      <c r="N525" s="7" t="inlineStr">
        <is>
          <t>N</t>
        </is>
      </c>
      <c r="O525" s="7">
        <f>TEXT(D525, "dddd")</f>
        <v/>
      </c>
      <c r="P525" s="7">
        <f>"Q"&amp;ROUNDUP(MONTH(D525)/3, 0)</f>
        <v/>
      </c>
    </row>
    <row r="526">
      <c r="A526" s="4" t="inlineStr">
        <is>
          <t>TXN100529</t>
        </is>
      </c>
      <c r="B526" s="4" t="inlineStr">
        <is>
          <t>CUST0529</t>
        </is>
      </c>
      <c r="C526" s="4" t="inlineStr">
        <is>
          <t>2026-06-01 04:29:00</t>
        </is>
      </c>
      <c r="D526" s="4">
        <f>TEXT(LEFT(C526,10),"YYYY-MM-DD")</f>
        <v/>
      </c>
      <c r="E526" s="5">
        <f>HOUR(C526)</f>
        <v/>
      </c>
      <c r="F526" s="4" t="inlineStr">
        <is>
          <t>Male</t>
        </is>
      </c>
      <c r="G526" s="5" t="n">
        <v>45</v>
      </c>
      <c r="H526" s="4">
        <f>IF(G526&gt;=60, "Boomer", IF(G526&gt;=45, "Gen X", IF(G526&gt;=25, "Millennial", "Gen Z")))</f>
        <v/>
      </c>
      <c r="I526" s="4" t="inlineStr">
        <is>
          <t>Checking</t>
        </is>
      </c>
      <c r="J526" s="4" t="inlineStr">
        <is>
          <t>Travel</t>
        </is>
      </c>
      <c r="K526" s="6" t="n">
        <v>94.63</v>
      </c>
      <c r="L526" s="6" t="n">
        <v>12324.6</v>
      </c>
      <c r="M526" s="4" t="inlineStr">
        <is>
          <t>Online Banking</t>
        </is>
      </c>
      <c r="N526" s="4" t="inlineStr">
        <is>
          <t>N</t>
        </is>
      </c>
      <c r="O526" s="4">
        <f>TEXT(D526, "dddd")</f>
        <v/>
      </c>
      <c r="P526" s="4">
        <f>"Q"&amp;ROUNDUP(MONTH(D526)/3, 0)</f>
        <v/>
      </c>
    </row>
    <row r="527">
      <c r="A527" s="7" t="inlineStr">
        <is>
          <t>TXN100530</t>
        </is>
      </c>
      <c r="B527" s="7" t="inlineStr">
        <is>
          <t>CUST0530</t>
        </is>
      </c>
      <c r="C527" s="7" t="inlineStr">
        <is>
          <t>2026-06-01 16:08:00</t>
        </is>
      </c>
      <c r="D527" s="7">
        <f>TEXT(LEFT(C527,10),"YYYY-MM-DD")</f>
        <v/>
      </c>
      <c r="E527" s="8">
        <f>HOUR(C527)</f>
        <v/>
      </c>
      <c r="F527" s="7" t="inlineStr">
        <is>
          <t>Unspecified</t>
        </is>
      </c>
      <c r="G527" s="8" t="n">
        <v>30</v>
      </c>
      <c r="H527" s="7">
        <f>IF(G527&gt;=60, "Boomer", IF(G527&gt;=45, "Gen X", IF(G527&gt;=25, "Millennial", "Gen Z")))</f>
        <v/>
      </c>
      <c r="I527" s="7" t="inlineStr">
        <is>
          <t>Savings</t>
        </is>
      </c>
      <c r="J527" s="7" t="inlineStr">
        <is>
          <t>Travel</t>
        </is>
      </c>
      <c r="K527" s="9" t="n">
        <v>7590.21</v>
      </c>
      <c r="L527" s="9" t="n">
        <v>33140.96</v>
      </c>
      <c r="M527" s="7" t="inlineStr">
        <is>
          <t>Online Banking</t>
        </is>
      </c>
      <c r="N527" s="7" t="inlineStr">
        <is>
          <t>Y</t>
        </is>
      </c>
      <c r="O527" s="7">
        <f>TEXT(D527, "dddd")</f>
        <v/>
      </c>
      <c r="P527" s="7">
        <f>"Q"&amp;ROUNDUP(MONTH(D527)/3, 0)</f>
        <v/>
      </c>
    </row>
    <row r="528">
      <c r="A528" s="4" t="inlineStr">
        <is>
          <t>TXN100531</t>
        </is>
      </c>
      <c r="B528" s="4" t="inlineStr">
        <is>
          <t>CUST0531</t>
        </is>
      </c>
      <c r="C528" s="4" t="inlineStr">
        <is>
          <t>2026-06-01 15:22:00</t>
        </is>
      </c>
      <c r="D528" s="4">
        <f>TEXT(LEFT(C528,10),"YYYY-MM-DD")</f>
        <v/>
      </c>
      <c r="E528" s="5">
        <f>HOUR(C528)</f>
        <v/>
      </c>
      <c r="F528" s="4" t="inlineStr">
        <is>
          <t>Male</t>
        </is>
      </c>
      <c r="G528" s="5" t="n">
        <v>34</v>
      </c>
      <c r="H528" s="4">
        <f>IF(G528&gt;=60, "Boomer", IF(G528&gt;=45, "Gen X", IF(G528&gt;=25, "Millennial", "Gen Z")))</f>
        <v/>
      </c>
      <c r="I528" s="4" t="inlineStr">
        <is>
          <t>Checking</t>
        </is>
      </c>
      <c r="J528" s="4" t="inlineStr">
        <is>
          <t>Groceries</t>
        </is>
      </c>
      <c r="K528" s="6" t="n">
        <v>512.26</v>
      </c>
      <c r="L528" s="6" t="n">
        <v>18787.04</v>
      </c>
      <c r="M528" s="4" t="inlineStr">
        <is>
          <t>Mobile App</t>
        </is>
      </c>
      <c r="N528" s="4" t="inlineStr">
        <is>
          <t>N</t>
        </is>
      </c>
      <c r="O528" s="4">
        <f>TEXT(D528, "dddd")</f>
        <v/>
      </c>
      <c r="P528" s="4">
        <f>"Q"&amp;ROUNDUP(MONTH(D528)/3, 0)</f>
        <v/>
      </c>
    </row>
    <row r="529">
      <c r="A529" s="7" t="inlineStr">
        <is>
          <t>TXN100532</t>
        </is>
      </c>
      <c r="B529" s="7" t="inlineStr">
        <is>
          <t>CUST0532</t>
        </is>
      </c>
      <c r="C529" s="7" t="inlineStr">
        <is>
          <t>2026-06-01 21:13:00</t>
        </is>
      </c>
      <c r="D529" s="7">
        <f>TEXT(LEFT(C529,10),"YYYY-MM-DD")</f>
        <v/>
      </c>
      <c r="E529" s="8">
        <f>HOUR(C529)</f>
        <v/>
      </c>
      <c r="F529" s="7" t="inlineStr">
        <is>
          <t>Female</t>
        </is>
      </c>
      <c r="G529" s="8" t="n">
        <v>44</v>
      </c>
      <c r="H529" s="7">
        <f>IF(G529&gt;=60, "Boomer", IF(G529&gt;=45, "Gen X", IF(G529&gt;=25, "Millennial", "Gen Z")))</f>
        <v/>
      </c>
      <c r="I529" s="7" t="inlineStr">
        <is>
          <t>Checking</t>
        </is>
      </c>
      <c r="J529" s="7" t="inlineStr">
        <is>
          <t>Utilities</t>
        </is>
      </c>
      <c r="K529" s="9" t="n">
        <v>7053.6</v>
      </c>
      <c r="L529" s="9" t="n">
        <v>2475.28</v>
      </c>
      <c r="M529" s="7" t="inlineStr">
        <is>
          <t>Branch Office</t>
        </is>
      </c>
      <c r="N529" s="7" t="inlineStr">
        <is>
          <t>N</t>
        </is>
      </c>
      <c r="O529" s="7">
        <f>TEXT(D529, "dddd")</f>
        <v/>
      </c>
      <c r="P529" s="7">
        <f>"Q"&amp;ROUNDUP(MONTH(D529)/3, 0)</f>
        <v/>
      </c>
    </row>
    <row r="530">
      <c r="A530" s="4" t="inlineStr">
        <is>
          <t>TXN100533</t>
        </is>
      </c>
      <c r="B530" s="4" t="inlineStr">
        <is>
          <t>CUST0533</t>
        </is>
      </c>
      <c r="C530" s="4" t="inlineStr">
        <is>
          <t>2026-06-01 16:40:00</t>
        </is>
      </c>
      <c r="D530" s="4">
        <f>TEXT(LEFT(C530,10),"YYYY-MM-DD")</f>
        <v/>
      </c>
      <c r="E530" s="5">
        <f>HOUR(C530)</f>
        <v/>
      </c>
      <c r="F530" s="4" t="inlineStr">
        <is>
          <t>Female</t>
        </is>
      </c>
      <c r="G530" s="5" t="n">
        <v>73</v>
      </c>
      <c r="H530" s="4">
        <f>IF(G530&gt;=60, "Boomer", IF(G530&gt;=45, "Gen X", IF(G530&gt;=25, "Millennial", "Gen Z")))</f>
        <v/>
      </c>
      <c r="I530" s="4" t="inlineStr">
        <is>
          <t>Investment</t>
        </is>
      </c>
      <c r="J530" s="4" t="inlineStr">
        <is>
          <t>Entertainment</t>
        </is>
      </c>
      <c r="K530" s="6" t="n">
        <v>4633.27</v>
      </c>
      <c r="L530" s="6" t="n">
        <v>28722.93</v>
      </c>
      <c r="M530" s="4" t="inlineStr">
        <is>
          <t>ATM</t>
        </is>
      </c>
      <c r="N530" s="4" t="inlineStr">
        <is>
          <t>N</t>
        </is>
      </c>
      <c r="O530" s="4">
        <f>TEXT(D530, "dddd")</f>
        <v/>
      </c>
      <c r="P530" s="4">
        <f>"Q"&amp;ROUNDUP(MONTH(D530)/3, 0)</f>
        <v/>
      </c>
    </row>
    <row r="531">
      <c r="A531" s="7" t="inlineStr">
        <is>
          <t>TXN100534</t>
        </is>
      </c>
      <c r="B531" s="7" t="inlineStr">
        <is>
          <t>CUST0534</t>
        </is>
      </c>
      <c r="C531" s="7" t="inlineStr">
        <is>
          <t>2026-06-01 20:24:00</t>
        </is>
      </c>
      <c r="D531" s="7">
        <f>TEXT(LEFT(C531,10),"YYYY-MM-DD")</f>
        <v/>
      </c>
      <c r="E531" s="8">
        <f>HOUR(C531)</f>
        <v/>
      </c>
      <c r="F531" s="7" t="inlineStr">
        <is>
          <t>Female</t>
        </is>
      </c>
      <c r="G531" s="8" t="n">
        <v>57</v>
      </c>
      <c r="H531" s="7">
        <f>IF(G531&gt;=60, "Boomer", IF(G531&gt;=45, "Gen X", IF(G531&gt;=25, "Millennial", "Gen Z")))</f>
        <v/>
      </c>
      <c r="I531" s="7" t="inlineStr">
        <is>
          <t>Investment</t>
        </is>
      </c>
      <c r="J531" s="7" t="inlineStr">
        <is>
          <t>Groceries</t>
        </is>
      </c>
      <c r="K531" s="9" t="n">
        <v>4138.14</v>
      </c>
      <c r="L531" s="9" t="n">
        <v>19128.27</v>
      </c>
      <c r="M531" s="7" t="inlineStr">
        <is>
          <t>Online Banking</t>
        </is>
      </c>
      <c r="N531" s="7" t="inlineStr">
        <is>
          <t>N</t>
        </is>
      </c>
      <c r="O531" s="7">
        <f>TEXT(D531, "dddd")</f>
        <v/>
      </c>
      <c r="P531" s="7">
        <f>"Q"&amp;ROUNDUP(MONTH(D531)/3, 0)</f>
        <v/>
      </c>
    </row>
    <row r="532">
      <c r="A532" s="4" t="inlineStr">
        <is>
          <t>TXN100535</t>
        </is>
      </c>
      <c r="B532" s="4" t="inlineStr">
        <is>
          <t>CUST0535</t>
        </is>
      </c>
      <c r="C532" s="4" t="inlineStr">
        <is>
          <t>2026-06-01 16:25:00</t>
        </is>
      </c>
      <c r="D532" s="4">
        <f>TEXT(LEFT(C532,10),"YYYY-MM-DD")</f>
        <v/>
      </c>
      <c r="E532" s="5">
        <f>HOUR(C532)</f>
        <v/>
      </c>
      <c r="F532" s="4" t="inlineStr">
        <is>
          <t>Female</t>
        </is>
      </c>
      <c r="G532" s="5" t="n">
        <v>72</v>
      </c>
      <c r="H532" s="4">
        <f>IF(G532&gt;=60, "Boomer", IF(G532&gt;=45, "Gen X", IF(G532&gt;=25, "Millennial", "Gen Z")))</f>
        <v/>
      </c>
      <c r="I532" s="4" t="inlineStr">
        <is>
          <t>Checking</t>
        </is>
      </c>
      <c r="J532" s="4" t="inlineStr">
        <is>
          <t>Utilities</t>
        </is>
      </c>
      <c r="K532" s="6" t="n">
        <v>6343.33</v>
      </c>
      <c r="L532" s="6" t="n">
        <v>44415.01</v>
      </c>
      <c r="M532" s="4" t="inlineStr">
        <is>
          <t>Mobile App</t>
        </is>
      </c>
      <c r="N532" s="4" t="inlineStr">
        <is>
          <t>N</t>
        </is>
      </c>
      <c r="O532" s="4">
        <f>TEXT(D532, "dddd")</f>
        <v/>
      </c>
      <c r="P532" s="4">
        <f>"Q"&amp;ROUNDUP(MONTH(D532)/3, 0)</f>
        <v/>
      </c>
    </row>
    <row r="533">
      <c r="A533" s="7" t="inlineStr">
        <is>
          <t>TXN100536</t>
        </is>
      </c>
      <c r="B533" s="7" t="inlineStr">
        <is>
          <t>CUST0536</t>
        </is>
      </c>
      <c r="C533" s="7" t="inlineStr">
        <is>
          <t>2026-06-01 16:56:00</t>
        </is>
      </c>
      <c r="D533" s="7">
        <f>TEXT(LEFT(C533,10),"YYYY-MM-DD")</f>
        <v/>
      </c>
      <c r="E533" s="8">
        <f>HOUR(C533)</f>
        <v/>
      </c>
      <c r="F533" s="7" t="inlineStr">
        <is>
          <t>Male</t>
        </is>
      </c>
      <c r="G533" s="8" t="n">
        <v>48</v>
      </c>
      <c r="H533" s="7">
        <f>IF(G533&gt;=60, "Boomer", IF(G533&gt;=45, "Gen X", IF(G533&gt;=25, "Millennial", "Gen Z")))</f>
        <v/>
      </c>
      <c r="I533" s="7" t="inlineStr">
        <is>
          <t>Savings</t>
        </is>
      </c>
      <c r="J533" s="7" t="inlineStr">
        <is>
          <t>Groceries</t>
        </is>
      </c>
      <c r="K533" s="9" t="n">
        <v>625.9299999999999</v>
      </c>
      <c r="L533" s="9" t="n">
        <v>32352.11</v>
      </c>
      <c r="M533" s="7" t="inlineStr">
        <is>
          <t>Online Banking</t>
        </is>
      </c>
      <c r="N533" s="7" t="inlineStr">
        <is>
          <t>N</t>
        </is>
      </c>
      <c r="O533" s="7">
        <f>TEXT(D533, "dddd")</f>
        <v/>
      </c>
      <c r="P533" s="7">
        <f>"Q"&amp;ROUNDUP(MONTH(D533)/3, 0)</f>
        <v/>
      </c>
    </row>
    <row r="534">
      <c r="A534" s="4" t="inlineStr">
        <is>
          <t>TXN100537</t>
        </is>
      </c>
      <c r="B534" s="4" t="inlineStr">
        <is>
          <t>CUST0537</t>
        </is>
      </c>
      <c r="C534" s="4" t="inlineStr">
        <is>
          <t>2026-06-01 04:11:00</t>
        </is>
      </c>
      <c r="D534" s="4">
        <f>TEXT(LEFT(C534,10),"YYYY-MM-DD")</f>
        <v/>
      </c>
      <c r="E534" s="5">
        <f>HOUR(C534)</f>
        <v/>
      </c>
      <c r="F534" s="4" t="inlineStr">
        <is>
          <t>Male</t>
        </is>
      </c>
      <c r="G534" s="5" t="n">
        <v>43</v>
      </c>
      <c r="H534" s="4">
        <f>IF(G534&gt;=60, "Boomer", IF(G534&gt;=45, "Gen X", IF(G534&gt;=25, "Millennial", "Gen Z")))</f>
        <v/>
      </c>
      <c r="I534" s="4" t="inlineStr">
        <is>
          <t>Investment</t>
        </is>
      </c>
      <c r="J534" s="4" t="inlineStr">
        <is>
          <t>Groceries</t>
        </is>
      </c>
      <c r="K534" s="6" t="n">
        <v>5292.27</v>
      </c>
      <c r="L534" s="6" t="n">
        <v>21023.38</v>
      </c>
      <c r="M534" s="4" t="inlineStr">
        <is>
          <t>Branch Office</t>
        </is>
      </c>
      <c r="N534" s="4" t="inlineStr">
        <is>
          <t>N</t>
        </is>
      </c>
      <c r="O534" s="4">
        <f>TEXT(D534, "dddd")</f>
        <v/>
      </c>
      <c r="P534" s="4">
        <f>"Q"&amp;ROUNDUP(MONTH(D534)/3, 0)</f>
        <v/>
      </c>
    </row>
    <row r="535">
      <c r="A535" s="7" t="inlineStr">
        <is>
          <t>TXN100538</t>
        </is>
      </c>
      <c r="B535" s="7" t="inlineStr">
        <is>
          <t>CUST0538</t>
        </is>
      </c>
      <c r="C535" s="7" t="inlineStr">
        <is>
          <t>2026-06-01 23:07:00</t>
        </is>
      </c>
      <c r="D535" s="7">
        <f>TEXT(LEFT(C535,10),"YYYY-MM-DD")</f>
        <v/>
      </c>
      <c r="E535" s="8">
        <f>HOUR(C535)</f>
        <v/>
      </c>
      <c r="F535" s="7" t="inlineStr">
        <is>
          <t>Unspecified</t>
        </is>
      </c>
      <c r="G535" s="8" t="n">
        <v>63</v>
      </c>
      <c r="H535" s="7">
        <f>IF(G535&gt;=60, "Boomer", IF(G535&gt;=45, "Gen X", IF(G535&gt;=25, "Millennial", "Gen Z")))</f>
        <v/>
      </c>
      <c r="I535" s="7" t="inlineStr">
        <is>
          <t>Checking</t>
        </is>
      </c>
      <c r="J535" s="7" t="inlineStr">
        <is>
          <t>Utilities</t>
        </is>
      </c>
      <c r="K535" s="9" t="n">
        <v>1693.52</v>
      </c>
      <c r="L535" s="9" t="n">
        <v>8481.690000000001</v>
      </c>
      <c r="M535" s="7" t="inlineStr">
        <is>
          <t>ATM</t>
        </is>
      </c>
      <c r="N535" s="7" t="inlineStr">
        <is>
          <t>N</t>
        </is>
      </c>
      <c r="O535" s="7">
        <f>TEXT(D535, "dddd")</f>
        <v/>
      </c>
      <c r="P535" s="7">
        <f>"Q"&amp;ROUNDUP(MONTH(D535)/3, 0)</f>
        <v/>
      </c>
    </row>
    <row r="536">
      <c r="A536" s="4" t="inlineStr">
        <is>
          <t>TXN100539</t>
        </is>
      </c>
      <c r="B536" s="4" t="inlineStr">
        <is>
          <t>CUST0539</t>
        </is>
      </c>
      <c r="C536" s="4" t="inlineStr">
        <is>
          <t>2026-06-01 00:15:00</t>
        </is>
      </c>
      <c r="D536" s="4">
        <f>TEXT(LEFT(C536,10),"YYYY-MM-DD")</f>
        <v/>
      </c>
      <c r="E536" s="5">
        <f>HOUR(C536)</f>
        <v/>
      </c>
      <c r="F536" s="4" t="inlineStr">
        <is>
          <t>Male</t>
        </is>
      </c>
      <c r="G536" s="5" t="n">
        <v>28</v>
      </c>
      <c r="H536" s="4">
        <f>IF(G536&gt;=60, "Boomer", IF(G536&gt;=45, "Gen X", IF(G536&gt;=25, "Millennial", "Gen Z")))</f>
        <v/>
      </c>
      <c r="I536" s="4" t="inlineStr">
        <is>
          <t>Investment</t>
        </is>
      </c>
      <c r="J536" s="4" t="inlineStr">
        <is>
          <t>Travel</t>
        </is>
      </c>
      <c r="K536" s="6" t="n">
        <v>1297.42</v>
      </c>
      <c r="L536" s="6" t="n">
        <v>31662.25</v>
      </c>
      <c r="M536" s="4" t="inlineStr">
        <is>
          <t>Mobile App</t>
        </is>
      </c>
      <c r="N536" s="4" t="inlineStr">
        <is>
          <t>N</t>
        </is>
      </c>
      <c r="O536" s="4">
        <f>TEXT(D536, "dddd")</f>
        <v/>
      </c>
      <c r="P536" s="4">
        <f>"Q"&amp;ROUNDUP(MONTH(D536)/3, 0)</f>
        <v/>
      </c>
    </row>
    <row r="537">
      <c r="A537" s="7" t="inlineStr">
        <is>
          <t>TXN100540</t>
        </is>
      </c>
      <c r="B537" s="7" t="inlineStr">
        <is>
          <t>CUST0540</t>
        </is>
      </c>
      <c r="C537" s="7" t="inlineStr">
        <is>
          <t>2026-06-01 18:09:00</t>
        </is>
      </c>
      <c r="D537" s="7">
        <f>TEXT(LEFT(C537,10),"YYYY-MM-DD")</f>
        <v/>
      </c>
      <c r="E537" s="8">
        <f>HOUR(C537)</f>
        <v/>
      </c>
      <c r="F537" s="7" t="inlineStr">
        <is>
          <t>Male</t>
        </is>
      </c>
      <c r="G537" s="8" t="n">
        <v>30</v>
      </c>
      <c r="H537" s="7">
        <f>IF(G537&gt;=60, "Boomer", IF(G537&gt;=45, "Gen X", IF(G537&gt;=25, "Millennial", "Gen Z")))</f>
        <v/>
      </c>
      <c r="I537" s="7" t="inlineStr">
        <is>
          <t>Checking</t>
        </is>
      </c>
      <c r="J537" s="7" t="inlineStr">
        <is>
          <t>Groceries</t>
        </is>
      </c>
      <c r="K537" s="9" t="n">
        <v>4137.96</v>
      </c>
      <c r="L537" s="9" t="n">
        <v>20570.09</v>
      </c>
      <c r="M537" s="7" t="inlineStr">
        <is>
          <t>Mobile App</t>
        </is>
      </c>
      <c r="N537" s="7" t="inlineStr">
        <is>
          <t>N</t>
        </is>
      </c>
      <c r="O537" s="7">
        <f>TEXT(D537, "dddd")</f>
        <v/>
      </c>
      <c r="P537" s="7">
        <f>"Q"&amp;ROUNDUP(MONTH(D537)/3, 0)</f>
        <v/>
      </c>
    </row>
    <row r="538">
      <c r="A538" s="4" t="inlineStr">
        <is>
          <t>TXN100541</t>
        </is>
      </c>
      <c r="B538" s="4" t="inlineStr">
        <is>
          <t>CUST0541</t>
        </is>
      </c>
      <c r="C538" s="4" t="inlineStr">
        <is>
          <t>2026-06-01 23:46:00</t>
        </is>
      </c>
      <c r="D538" s="4">
        <f>TEXT(LEFT(C538,10),"YYYY-MM-DD")</f>
        <v/>
      </c>
      <c r="E538" s="5">
        <f>HOUR(C538)</f>
        <v/>
      </c>
      <c r="F538" s="4" t="inlineStr">
        <is>
          <t>Female</t>
        </is>
      </c>
      <c r="G538" s="5" t="n">
        <v>25</v>
      </c>
      <c r="H538" s="4">
        <f>IF(G538&gt;=60, "Boomer", IF(G538&gt;=45, "Gen X", IF(G538&gt;=25, "Millennial", "Gen Z")))</f>
        <v/>
      </c>
      <c r="I538" s="4" t="inlineStr">
        <is>
          <t>Savings</t>
        </is>
      </c>
      <c r="J538" s="4" t="inlineStr">
        <is>
          <t>Utilities</t>
        </is>
      </c>
      <c r="K538" s="6" t="n">
        <v>4856.14</v>
      </c>
      <c r="L538" s="6" t="n">
        <v>23834.97</v>
      </c>
      <c r="M538" s="4" t="inlineStr">
        <is>
          <t>ATM</t>
        </is>
      </c>
      <c r="N538" s="4" t="inlineStr">
        <is>
          <t>N</t>
        </is>
      </c>
      <c r="O538" s="4">
        <f>TEXT(D538, "dddd")</f>
        <v/>
      </c>
      <c r="P538" s="4">
        <f>"Q"&amp;ROUNDUP(MONTH(D538)/3, 0)</f>
        <v/>
      </c>
    </row>
    <row r="539">
      <c r="A539" s="7" t="inlineStr">
        <is>
          <t>TXN100542</t>
        </is>
      </c>
      <c r="B539" s="7" t="inlineStr">
        <is>
          <t>CUST0542</t>
        </is>
      </c>
      <c r="C539" s="7" t="inlineStr">
        <is>
          <t>2026-06-01 05:14:00</t>
        </is>
      </c>
      <c r="D539" s="7">
        <f>TEXT(LEFT(C539,10),"YYYY-MM-DD")</f>
        <v/>
      </c>
      <c r="E539" s="8">
        <f>HOUR(C539)</f>
        <v/>
      </c>
      <c r="F539" s="7" t="inlineStr">
        <is>
          <t>Unspecified</t>
        </is>
      </c>
      <c r="G539" s="8" t="n">
        <v>58</v>
      </c>
      <c r="H539" s="7">
        <f>IF(G539&gt;=60, "Boomer", IF(G539&gt;=45, "Gen X", IF(G539&gt;=25, "Millennial", "Gen Z")))</f>
        <v/>
      </c>
      <c r="I539" s="7" t="inlineStr">
        <is>
          <t>Savings</t>
        </is>
      </c>
      <c r="J539" s="7" t="inlineStr">
        <is>
          <t>Travel</t>
        </is>
      </c>
      <c r="K539" s="9" t="n">
        <v>6565.42</v>
      </c>
      <c r="L539" s="9" t="n">
        <v>9503.27</v>
      </c>
      <c r="M539" s="7" t="inlineStr">
        <is>
          <t>Branch Office</t>
        </is>
      </c>
      <c r="N539" s="7" t="inlineStr">
        <is>
          <t>N</t>
        </is>
      </c>
      <c r="O539" s="7">
        <f>TEXT(D539, "dddd")</f>
        <v/>
      </c>
      <c r="P539" s="7">
        <f>"Q"&amp;ROUNDUP(MONTH(D539)/3, 0)</f>
        <v/>
      </c>
    </row>
    <row r="540">
      <c r="A540" s="4" t="inlineStr">
        <is>
          <t>TXN100543</t>
        </is>
      </c>
      <c r="B540" s="4" t="inlineStr">
        <is>
          <t>CUST0543</t>
        </is>
      </c>
      <c r="C540" s="4" t="inlineStr">
        <is>
          <t>2026-06-01 05:46:00</t>
        </is>
      </c>
      <c r="D540" s="4">
        <f>TEXT(LEFT(C540,10),"YYYY-MM-DD")</f>
        <v/>
      </c>
      <c r="E540" s="5">
        <f>HOUR(C540)</f>
        <v/>
      </c>
      <c r="F540" s="4" t="inlineStr">
        <is>
          <t>Female</t>
        </is>
      </c>
      <c r="G540" s="5" t="n">
        <v>49</v>
      </c>
      <c r="H540" s="4">
        <f>IF(G540&gt;=60, "Boomer", IF(G540&gt;=45, "Gen X", IF(G540&gt;=25, "Millennial", "Gen Z")))</f>
        <v/>
      </c>
      <c r="I540" s="4" t="inlineStr">
        <is>
          <t>Investment</t>
        </is>
      </c>
      <c r="J540" s="4" t="inlineStr">
        <is>
          <t>Travel</t>
        </is>
      </c>
      <c r="K540" s="6" t="n">
        <v>560.05</v>
      </c>
      <c r="L540" s="6" t="n">
        <v>19221.46</v>
      </c>
      <c r="M540" s="4" t="inlineStr">
        <is>
          <t>Online Banking</t>
        </is>
      </c>
      <c r="N540" s="4" t="inlineStr">
        <is>
          <t>N</t>
        </is>
      </c>
      <c r="O540" s="4">
        <f>TEXT(D540, "dddd")</f>
        <v/>
      </c>
      <c r="P540" s="4">
        <f>"Q"&amp;ROUNDUP(MONTH(D540)/3, 0)</f>
        <v/>
      </c>
    </row>
    <row r="541">
      <c r="A541" s="7" t="inlineStr">
        <is>
          <t>TXN100544</t>
        </is>
      </c>
      <c r="B541" s="7" t="inlineStr">
        <is>
          <t>CUST0544</t>
        </is>
      </c>
      <c r="C541" s="7" t="inlineStr">
        <is>
          <t>2026-06-01 03:01:00</t>
        </is>
      </c>
      <c r="D541" s="7">
        <f>TEXT(LEFT(C541,10),"YYYY-MM-DD")</f>
        <v/>
      </c>
      <c r="E541" s="8">
        <f>HOUR(C541)</f>
        <v/>
      </c>
      <c r="F541" s="7" t="inlineStr">
        <is>
          <t>Female</t>
        </is>
      </c>
      <c r="G541" s="8" t="n">
        <v>53</v>
      </c>
      <c r="H541" s="7">
        <f>IF(G541&gt;=60, "Boomer", IF(G541&gt;=45, "Gen X", IF(G541&gt;=25, "Millennial", "Gen Z")))</f>
        <v/>
      </c>
      <c r="I541" s="7" t="inlineStr">
        <is>
          <t>Investment</t>
        </is>
      </c>
      <c r="J541" s="7" t="inlineStr">
        <is>
          <t>Utilities</t>
        </is>
      </c>
      <c r="K541" s="9" t="n">
        <v>6613.85</v>
      </c>
      <c r="L541" s="9" t="n">
        <v>30472.8</v>
      </c>
      <c r="M541" s="7" t="inlineStr">
        <is>
          <t>Online Banking</t>
        </is>
      </c>
      <c r="N541" s="7" t="inlineStr">
        <is>
          <t>N</t>
        </is>
      </c>
      <c r="O541" s="7">
        <f>TEXT(D541, "dddd")</f>
        <v/>
      </c>
      <c r="P541" s="7">
        <f>"Q"&amp;ROUNDUP(MONTH(D541)/3, 0)</f>
        <v/>
      </c>
    </row>
    <row r="542">
      <c r="A542" s="4" t="inlineStr">
        <is>
          <t>TXN100545</t>
        </is>
      </c>
      <c r="B542" s="4" t="inlineStr">
        <is>
          <t>CUST0545</t>
        </is>
      </c>
      <c r="C542" s="4" t="inlineStr">
        <is>
          <t>2026-06-01 15:57:00</t>
        </is>
      </c>
      <c r="D542" s="4">
        <f>TEXT(LEFT(C542,10),"YYYY-MM-DD")</f>
        <v/>
      </c>
      <c r="E542" s="5">
        <f>HOUR(C542)</f>
        <v/>
      </c>
      <c r="F542" s="4" t="inlineStr">
        <is>
          <t>Male</t>
        </is>
      </c>
      <c r="G542" s="5" t="n">
        <v>70</v>
      </c>
      <c r="H542" s="4">
        <f>IF(G542&gt;=60, "Boomer", IF(G542&gt;=45, "Gen X", IF(G542&gt;=25, "Millennial", "Gen Z")))</f>
        <v/>
      </c>
      <c r="I542" s="4" t="inlineStr">
        <is>
          <t>Investment</t>
        </is>
      </c>
      <c r="J542" s="4" t="inlineStr">
        <is>
          <t>Travel</t>
        </is>
      </c>
      <c r="K542" s="6" t="n">
        <v>6021.54</v>
      </c>
      <c r="L542" s="6" t="n">
        <v>5112.9</v>
      </c>
      <c r="M542" s="4" t="inlineStr">
        <is>
          <t>Online Banking</t>
        </is>
      </c>
      <c r="N542" s="4" t="inlineStr">
        <is>
          <t>N</t>
        </is>
      </c>
      <c r="O542" s="4">
        <f>TEXT(D542, "dddd")</f>
        <v/>
      </c>
      <c r="P542" s="4">
        <f>"Q"&amp;ROUNDUP(MONTH(D542)/3, 0)</f>
        <v/>
      </c>
    </row>
    <row r="543">
      <c r="A543" s="7" t="inlineStr">
        <is>
          <t>TXN100546</t>
        </is>
      </c>
      <c r="B543" s="7" t="inlineStr">
        <is>
          <t>CUST0546</t>
        </is>
      </c>
      <c r="C543" s="7" t="inlineStr">
        <is>
          <t>2026-06-01 19:34:00</t>
        </is>
      </c>
      <c r="D543" s="7">
        <f>TEXT(LEFT(C543,10),"YYYY-MM-DD")</f>
        <v/>
      </c>
      <c r="E543" s="8">
        <f>HOUR(C543)</f>
        <v/>
      </c>
      <c r="F543" s="7" t="inlineStr">
        <is>
          <t>Male</t>
        </is>
      </c>
      <c r="G543" s="8" t="n">
        <v>69</v>
      </c>
      <c r="H543" s="7">
        <f>IF(G543&gt;=60, "Boomer", IF(G543&gt;=45, "Gen X", IF(G543&gt;=25, "Millennial", "Gen Z")))</f>
        <v/>
      </c>
      <c r="I543" s="7" t="inlineStr">
        <is>
          <t>Investment</t>
        </is>
      </c>
      <c r="J543" s="7" t="inlineStr">
        <is>
          <t>Utilities</t>
        </is>
      </c>
      <c r="K543" s="9" t="n">
        <v>4181.13</v>
      </c>
      <c r="L543" s="9" t="n">
        <v>18833.68</v>
      </c>
      <c r="M543" s="7" t="inlineStr">
        <is>
          <t>Mobile App</t>
        </is>
      </c>
      <c r="N543" s="7" t="inlineStr">
        <is>
          <t>N</t>
        </is>
      </c>
      <c r="O543" s="7">
        <f>TEXT(D543, "dddd")</f>
        <v/>
      </c>
      <c r="P543" s="7">
        <f>"Q"&amp;ROUNDUP(MONTH(D543)/3, 0)</f>
        <v/>
      </c>
    </row>
    <row r="544">
      <c r="A544" s="4" t="inlineStr">
        <is>
          <t>TXN100547</t>
        </is>
      </c>
      <c r="B544" s="4" t="inlineStr">
        <is>
          <t>CUST0547</t>
        </is>
      </c>
      <c r="C544" s="4" t="inlineStr">
        <is>
          <t>2026-06-01 22:33:00</t>
        </is>
      </c>
      <c r="D544" s="4">
        <f>TEXT(LEFT(C544,10),"YYYY-MM-DD")</f>
        <v/>
      </c>
      <c r="E544" s="5">
        <f>HOUR(C544)</f>
        <v/>
      </c>
      <c r="F544" s="4" t="inlineStr">
        <is>
          <t>Unspecified</t>
        </is>
      </c>
      <c r="G544" s="5" t="n">
        <v>34</v>
      </c>
      <c r="H544" s="4">
        <f>IF(G544&gt;=60, "Boomer", IF(G544&gt;=45, "Gen X", IF(G544&gt;=25, "Millennial", "Gen Z")))</f>
        <v/>
      </c>
      <c r="I544" s="4" t="inlineStr">
        <is>
          <t>Checking</t>
        </is>
      </c>
      <c r="J544" s="4" t="inlineStr">
        <is>
          <t>Utilities</t>
        </is>
      </c>
      <c r="K544" s="6" t="n">
        <v>2810.64</v>
      </c>
      <c r="L544" s="6" t="n">
        <v>40328.74</v>
      </c>
      <c r="M544" s="4" t="inlineStr">
        <is>
          <t>Mobile App</t>
        </is>
      </c>
      <c r="N544" s="4" t="inlineStr">
        <is>
          <t>N</t>
        </is>
      </c>
      <c r="O544" s="4">
        <f>TEXT(D544, "dddd")</f>
        <v/>
      </c>
      <c r="P544" s="4">
        <f>"Q"&amp;ROUNDUP(MONTH(D544)/3, 0)</f>
        <v/>
      </c>
    </row>
    <row r="545">
      <c r="A545" s="7" t="inlineStr">
        <is>
          <t>TXN100548</t>
        </is>
      </c>
      <c r="B545" s="7" t="inlineStr">
        <is>
          <t>CUST0548</t>
        </is>
      </c>
      <c r="C545" s="7" t="inlineStr">
        <is>
          <t>2026-06-01 13:08:00</t>
        </is>
      </c>
      <c r="D545" s="7">
        <f>TEXT(LEFT(C545,10),"YYYY-MM-DD")</f>
        <v/>
      </c>
      <c r="E545" s="8">
        <f>HOUR(C545)</f>
        <v/>
      </c>
      <c r="F545" s="7" t="inlineStr">
        <is>
          <t>Female</t>
        </is>
      </c>
      <c r="G545" s="8" t="n">
        <v>50</v>
      </c>
      <c r="H545" s="7">
        <f>IF(G545&gt;=60, "Boomer", IF(G545&gt;=45, "Gen X", IF(G545&gt;=25, "Millennial", "Gen Z")))</f>
        <v/>
      </c>
      <c r="I545" s="7" t="inlineStr">
        <is>
          <t>Savings</t>
        </is>
      </c>
      <c r="J545" s="7" t="inlineStr">
        <is>
          <t>Groceries</t>
        </is>
      </c>
      <c r="K545" s="9" t="n">
        <v>2273.3</v>
      </c>
      <c r="L545" s="9" t="n">
        <v>43899.93</v>
      </c>
      <c r="M545" s="7" t="inlineStr">
        <is>
          <t>ATM</t>
        </is>
      </c>
      <c r="N545" s="7" t="inlineStr">
        <is>
          <t>N</t>
        </is>
      </c>
      <c r="O545" s="7">
        <f>TEXT(D545, "dddd")</f>
        <v/>
      </c>
      <c r="P545" s="7">
        <f>"Q"&amp;ROUNDUP(MONTH(D545)/3, 0)</f>
        <v/>
      </c>
    </row>
    <row r="546">
      <c r="A546" s="4" t="inlineStr">
        <is>
          <t>TXN100549</t>
        </is>
      </c>
      <c r="B546" s="4" t="inlineStr">
        <is>
          <t>CUST0549</t>
        </is>
      </c>
      <c r="C546" s="4" t="inlineStr">
        <is>
          <t>2026-06-01 08:12:00</t>
        </is>
      </c>
      <c r="D546" s="4">
        <f>TEXT(LEFT(C546,10),"YYYY-MM-DD")</f>
        <v/>
      </c>
      <c r="E546" s="5">
        <f>HOUR(C546)</f>
        <v/>
      </c>
      <c r="F546" s="4" t="inlineStr">
        <is>
          <t>Male</t>
        </is>
      </c>
      <c r="G546" s="5" t="n">
        <v>65</v>
      </c>
      <c r="H546" s="4">
        <f>IF(G546&gt;=60, "Boomer", IF(G546&gt;=45, "Gen X", IF(G546&gt;=25, "Millennial", "Gen Z")))</f>
        <v/>
      </c>
      <c r="I546" s="4" t="inlineStr">
        <is>
          <t>Investment</t>
        </is>
      </c>
      <c r="J546" s="4" t="inlineStr">
        <is>
          <t>Groceries</t>
        </is>
      </c>
      <c r="K546" s="6" t="n">
        <v>4628.12</v>
      </c>
      <c r="L546" s="6" t="n">
        <v>6332.52</v>
      </c>
      <c r="M546" s="4" t="inlineStr">
        <is>
          <t>Mobile App</t>
        </is>
      </c>
      <c r="N546" s="4" t="inlineStr">
        <is>
          <t>N</t>
        </is>
      </c>
      <c r="O546" s="4">
        <f>TEXT(D546, "dddd")</f>
        <v/>
      </c>
      <c r="P546" s="4">
        <f>"Q"&amp;ROUNDUP(MONTH(D546)/3, 0)</f>
        <v/>
      </c>
    </row>
    <row r="547">
      <c r="A547" s="7" t="inlineStr">
        <is>
          <t>TXN100550</t>
        </is>
      </c>
      <c r="B547" s="7" t="inlineStr">
        <is>
          <t>CUST0550</t>
        </is>
      </c>
      <c r="C547" s="7" t="inlineStr">
        <is>
          <t>2026-06-01 12:41:00</t>
        </is>
      </c>
      <c r="D547" s="7">
        <f>TEXT(LEFT(C547,10),"YYYY-MM-DD")</f>
        <v/>
      </c>
      <c r="E547" s="8">
        <f>HOUR(C547)</f>
        <v/>
      </c>
      <c r="F547" s="7" t="inlineStr">
        <is>
          <t>Female</t>
        </is>
      </c>
      <c r="G547" s="8" t="n">
        <v>64</v>
      </c>
      <c r="H547" s="7">
        <f>IF(G547&gt;=60, "Boomer", IF(G547&gt;=45, "Gen X", IF(G547&gt;=25, "Millennial", "Gen Z")))</f>
        <v/>
      </c>
      <c r="I547" s="7" t="inlineStr">
        <is>
          <t>Checking</t>
        </is>
      </c>
      <c r="J547" s="7" t="inlineStr">
        <is>
          <t>Utilities</t>
        </is>
      </c>
      <c r="K547" s="9" t="n">
        <v>2904.54</v>
      </c>
      <c r="L547" s="9" t="n">
        <v>8161.54</v>
      </c>
      <c r="M547" s="7" t="inlineStr">
        <is>
          <t>Branch Office</t>
        </is>
      </c>
      <c r="N547" s="7" t="inlineStr">
        <is>
          <t>N</t>
        </is>
      </c>
      <c r="O547" s="7">
        <f>TEXT(D547, "dddd")</f>
        <v/>
      </c>
      <c r="P547" s="7">
        <f>"Q"&amp;ROUNDUP(MONTH(D547)/3, 0)</f>
        <v/>
      </c>
    </row>
    <row r="548">
      <c r="A548" s="4" t="inlineStr">
        <is>
          <t>TXN100551</t>
        </is>
      </c>
      <c r="B548" s="4" t="inlineStr">
        <is>
          <t>CUST0551</t>
        </is>
      </c>
      <c r="C548" s="4" t="inlineStr">
        <is>
          <t>2026-06-01 08:54:00</t>
        </is>
      </c>
      <c r="D548" s="4">
        <f>TEXT(LEFT(C548,10),"YYYY-MM-DD")</f>
        <v/>
      </c>
      <c r="E548" s="5">
        <f>HOUR(C548)</f>
        <v/>
      </c>
      <c r="F548" s="4" t="inlineStr">
        <is>
          <t>Unspecified</t>
        </is>
      </c>
      <c r="G548" s="5" t="n">
        <v>56</v>
      </c>
      <c r="H548" s="4">
        <f>IF(G548&gt;=60, "Boomer", IF(G548&gt;=45, "Gen X", IF(G548&gt;=25, "Millennial", "Gen Z")))</f>
        <v/>
      </c>
      <c r="I548" s="4" t="inlineStr">
        <is>
          <t>Checking</t>
        </is>
      </c>
      <c r="J548" s="4" t="inlineStr">
        <is>
          <t>Travel</t>
        </is>
      </c>
      <c r="K548" s="6" t="n">
        <v>2211.73</v>
      </c>
      <c r="L548" s="6" t="n">
        <v>34189.98</v>
      </c>
      <c r="M548" s="4" t="inlineStr">
        <is>
          <t>Online Banking</t>
        </is>
      </c>
      <c r="N548" s="4" t="inlineStr">
        <is>
          <t>N</t>
        </is>
      </c>
      <c r="O548" s="4">
        <f>TEXT(D548, "dddd")</f>
        <v/>
      </c>
      <c r="P548" s="4">
        <f>"Q"&amp;ROUNDUP(MONTH(D548)/3, 0)</f>
        <v/>
      </c>
    </row>
    <row r="549">
      <c r="A549" s="7" t="inlineStr">
        <is>
          <t>TXN100552</t>
        </is>
      </c>
      <c r="B549" s="7" t="inlineStr">
        <is>
          <t>CUST0552</t>
        </is>
      </c>
      <c r="C549" s="7" t="inlineStr">
        <is>
          <t>2026-06-01 13:35:00</t>
        </is>
      </c>
      <c r="D549" s="7">
        <f>TEXT(LEFT(C549,10),"YYYY-MM-DD")</f>
        <v/>
      </c>
      <c r="E549" s="8">
        <f>HOUR(C549)</f>
        <v/>
      </c>
      <c r="F549" s="7" t="inlineStr">
        <is>
          <t>Unspecified</t>
        </is>
      </c>
      <c r="G549" s="8" t="n">
        <v>31</v>
      </c>
      <c r="H549" s="7">
        <f>IF(G549&gt;=60, "Boomer", IF(G549&gt;=45, "Gen X", IF(G549&gt;=25, "Millennial", "Gen Z")))</f>
        <v/>
      </c>
      <c r="I549" s="7" t="inlineStr">
        <is>
          <t>Checking</t>
        </is>
      </c>
      <c r="J549" s="7" t="inlineStr">
        <is>
          <t>Travel</t>
        </is>
      </c>
      <c r="K549" s="9" t="n">
        <v>4443.74</v>
      </c>
      <c r="L549" s="9" t="n">
        <v>13061.99</v>
      </c>
      <c r="M549" s="7" t="inlineStr">
        <is>
          <t>Branch Office</t>
        </is>
      </c>
      <c r="N549" s="7" t="inlineStr">
        <is>
          <t>N</t>
        </is>
      </c>
      <c r="O549" s="7">
        <f>TEXT(D549, "dddd")</f>
        <v/>
      </c>
      <c r="P549" s="7">
        <f>"Q"&amp;ROUNDUP(MONTH(D549)/3, 0)</f>
        <v/>
      </c>
    </row>
    <row r="550">
      <c r="A550" s="4" t="inlineStr">
        <is>
          <t>TXN100553</t>
        </is>
      </c>
      <c r="B550" s="4" t="inlineStr">
        <is>
          <t>CUST0553</t>
        </is>
      </c>
      <c r="C550" s="4" t="inlineStr">
        <is>
          <t>2026-06-01 18:22:00</t>
        </is>
      </c>
      <c r="D550" s="4">
        <f>TEXT(LEFT(C550,10),"YYYY-MM-DD")</f>
        <v/>
      </c>
      <c r="E550" s="5">
        <f>HOUR(C550)</f>
        <v/>
      </c>
      <c r="F550" s="4" t="inlineStr">
        <is>
          <t>Unspecified</t>
        </is>
      </c>
      <c r="G550" s="5" t="n">
        <v>67</v>
      </c>
      <c r="H550" s="4">
        <f>IF(G550&gt;=60, "Boomer", IF(G550&gt;=45, "Gen X", IF(G550&gt;=25, "Millennial", "Gen Z")))</f>
        <v/>
      </c>
      <c r="I550" s="4" t="inlineStr">
        <is>
          <t>Savings</t>
        </is>
      </c>
      <c r="J550" s="4" t="inlineStr">
        <is>
          <t>Groceries</t>
        </is>
      </c>
      <c r="K550" s="6" t="n">
        <v>5985.04</v>
      </c>
      <c r="L550" s="6" t="n">
        <v>22606.45</v>
      </c>
      <c r="M550" s="4" t="inlineStr">
        <is>
          <t>Online Banking</t>
        </is>
      </c>
      <c r="N550" s="4" t="inlineStr">
        <is>
          <t>N</t>
        </is>
      </c>
      <c r="O550" s="4">
        <f>TEXT(D550, "dddd")</f>
        <v/>
      </c>
      <c r="P550" s="4">
        <f>"Q"&amp;ROUNDUP(MONTH(D550)/3, 0)</f>
        <v/>
      </c>
    </row>
    <row r="551">
      <c r="A551" s="7" t="inlineStr">
        <is>
          <t>TXN100554</t>
        </is>
      </c>
      <c r="B551" s="7" t="inlineStr">
        <is>
          <t>CUST0554</t>
        </is>
      </c>
      <c r="C551" s="7" t="inlineStr">
        <is>
          <t>2026-06-01 03:13:00</t>
        </is>
      </c>
      <c r="D551" s="7">
        <f>TEXT(LEFT(C551,10),"YYYY-MM-DD")</f>
        <v/>
      </c>
      <c r="E551" s="8">
        <f>HOUR(C551)</f>
        <v/>
      </c>
      <c r="F551" s="7" t="inlineStr">
        <is>
          <t>Unspecified</t>
        </is>
      </c>
      <c r="G551" s="8" t="n">
        <v>70</v>
      </c>
      <c r="H551" s="7">
        <f>IF(G551&gt;=60, "Boomer", IF(G551&gt;=45, "Gen X", IF(G551&gt;=25, "Millennial", "Gen Z")))</f>
        <v/>
      </c>
      <c r="I551" s="7" t="inlineStr">
        <is>
          <t>Checking</t>
        </is>
      </c>
      <c r="J551" s="7" t="inlineStr">
        <is>
          <t>Travel</t>
        </is>
      </c>
      <c r="K551" s="9" t="n">
        <v>4916.06</v>
      </c>
      <c r="L551" s="9" t="n">
        <v>34385.94</v>
      </c>
      <c r="M551" s="7" t="inlineStr">
        <is>
          <t>Mobile App</t>
        </is>
      </c>
      <c r="N551" s="7" t="inlineStr">
        <is>
          <t>N</t>
        </is>
      </c>
      <c r="O551" s="7">
        <f>TEXT(D551, "dddd")</f>
        <v/>
      </c>
      <c r="P551" s="7">
        <f>"Q"&amp;ROUNDUP(MONTH(D551)/3, 0)</f>
        <v/>
      </c>
    </row>
    <row r="552">
      <c r="A552" s="4" t="inlineStr">
        <is>
          <t>TXN100555</t>
        </is>
      </c>
      <c r="B552" s="4" t="inlineStr">
        <is>
          <t>CUST0555</t>
        </is>
      </c>
      <c r="C552" s="4" t="inlineStr">
        <is>
          <t>2026-06-01 05:24:00</t>
        </is>
      </c>
      <c r="D552" s="4">
        <f>TEXT(LEFT(C552,10),"YYYY-MM-DD")</f>
        <v/>
      </c>
      <c r="E552" s="5">
        <f>HOUR(C552)</f>
        <v/>
      </c>
      <c r="F552" s="4" t="inlineStr">
        <is>
          <t>Male</t>
        </is>
      </c>
      <c r="G552" s="5" t="n">
        <v>71</v>
      </c>
      <c r="H552" s="4">
        <f>IF(G552&gt;=60, "Boomer", IF(G552&gt;=45, "Gen X", IF(G552&gt;=25, "Millennial", "Gen Z")))</f>
        <v/>
      </c>
      <c r="I552" s="4" t="inlineStr">
        <is>
          <t>Savings</t>
        </is>
      </c>
      <c r="J552" s="4" t="inlineStr">
        <is>
          <t>Groceries</t>
        </is>
      </c>
      <c r="K552" s="6" t="n">
        <v>3778.63</v>
      </c>
      <c r="L552" s="6" t="n">
        <v>30212.15</v>
      </c>
      <c r="M552" s="4" t="inlineStr">
        <is>
          <t>Mobile App</t>
        </is>
      </c>
      <c r="N552" s="4" t="inlineStr">
        <is>
          <t>N</t>
        </is>
      </c>
      <c r="O552" s="4">
        <f>TEXT(D552, "dddd")</f>
        <v/>
      </c>
      <c r="P552" s="4">
        <f>"Q"&amp;ROUNDUP(MONTH(D552)/3, 0)</f>
        <v/>
      </c>
    </row>
    <row r="553">
      <c r="A553" s="7" t="inlineStr">
        <is>
          <t>TXN100556</t>
        </is>
      </c>
      <c r="B553" s="7" t="inlineStr">
        <is>
          <t>CUST0556</t>
        </is>
      </c>
      <c r="C553" s="7" t="inlineStr">
        <is>
          <t>2026-06-01 02:16:00</t>
        </is>
      </c>
      <c r="D553" s="7">
        <f>TEXT(LEFT(C553,10),"YYYY-MM-DD")</f>
        <v/>
      </c>
      <c r="E553" s="8">
        <f>HOUR(C553)</f>
        <v/>
      </c>
      <c r="F553" s="7" t="inlineStr">
        <is>
          <t>Female</t>
        </is>
      </c>
      <c r="G553" s="8" t="n">
        <v>43</v>
      </c>
      <c r="H553" s="7">
        <f>IF(G553&gt;=60, "Boomer", IF(G553&gt;=45, "Gen X", IF(G553&gt;=25, "Millennial", "Gen Z")))</f>
        <v/>
      </c>
      <c r="I553" s="7" t="inlineStr">
        <is>
          <t>Savings</t>
        </is>
      </c>
      <c r="J553" s="7" t="inlineStr">
        <is>
          <t>Travel</t>
        </is>
      </c>
      <c r="K553" s="9" t="n">
        <v>311.67</v>
      </c>
      <c r="L553" s="9" t="n">
        <v>19524.14</v>
      </c>
      <c r="M553" s="7" t="inlineStr">
        <is>
          <t>ATM</t>
        </is>
      </c>
      <c r="N553" s="7" t="inlineStr">
        <is>
          <t>N</t>
        </is>
      </c>
      <c r="O553" s="7">
        <f>TEXT(D553, "dddd")</f>
        <v/>
      </c>
      <c r="P553" s="7">
        <f>"Q"&amp;ROUNDUP(MONTH(D553)/3, 0)</f>
        <v/>
      </c>
    </row>
    <row r="554">
      <c r="A554" s="4" t="inlineStr">
        <is>
          <t>TXN100557</t>
        </is>
      </c>
      <c r="B554" s="4" t="inlineStr">
        <is>
          <t>CUST0557</t>
        </is>
      </c>
      <c r="C554" s="4" t="inlineStr">
        <is>
          <t>2026-06-01 19:41:00</t>
        </is>
      </c>
      <c r="D554" s="4">
        <f>TEXT(LEFT(C554,10),"YYYY-MM-DD")</f>
        <v/>
      </c>
      <c r="E554" s="5">
        <f>HOUR(C554)</f>
        <v/>
      </c>
      <c r="F554" s="4" t="inlineStr">
        <is>
          <t>Female</t>
        </is>
      </c>
      <c r="G554" s="5" t="n">
        <v>65</v>
      </c>
      <c r="H554" s="4">
        <f>IF(G554&gt;=60, "Boomer", IF(G554&gt;=45, "Gen X", IF(G554&gt;=25, "Millennial", "Gen Z")))</f>
        <v/>
      </c>
      <c r="I554" s="4" t="inlineStr">
        <is>
          <t>Investment</t>
        </is>
      </c>
      <c r="J554" s="4" t="inlineStr">
        <is>
          <t>Groceries</t>
        </is>
      </c>
      <c r="K554" s="6" t="n">
        <v>7566.27</v>
      </c>
      <c r="L554" s="6" t="n">
        <v>41101.32</v>
      </c>
      <c r="M554" s="4" t="inlineStr">
        <is>
          <t>ATM</t>
        </is>
      </c>
      <c r="N554" s="4" t="inlineStr">
        <is>
          <t>N</t>
        </is>
      </c>
      <c r="O554" s="4">
        <f>TEXT(D554, "dddd")</f>
        <v/>
      </c>
      <c r="P554" s="4">
        <f>"Q"&amp;ROUNDUP(MONTH(D554)/3, 0)</f>
        <v/>
      </c>
    </row>
    <row r="555">
      <c r="A555" s="7" t="inlineStr">
        <is>
          <t>TXN100558</t>
        </is>
      </c>
      <c r="B555" s="7" t="inlineStr">
        <is>
          <t>CUST0558</t>
        </is>
      </c>
      <c r="C555" s="7" t="inlineStr">
        <is>
          <t>2026-06-01 06:54:00</t>
        </is>
      </c>
      <c r="D555" s="7">
        <f>TEXT(LEFT(C555,10),"YYYY-MM-DD")</f>
        <v/>
      </c>
      <c r="E555" s="8">
        <f>HOUR(C555)</f>
        <v/>
      </c>
      <c r="F555" s="7" t="inlineStr">
        <is>
          <t>Female</t>
        </is>
      </c>
      <c r="G555" s="8" t="n">
        <v>32</v>
      </c>
      <c r="H555" s="7">
        <f>IF(G555&gt;=60, "Boomer", IF(G555&gt;=45, "Gen X", IF(G555&gt;=25, "Millennial", "Gen Z")))</f>
        <v/>
      </c>
      <c r="I555" s="7" t="inlineStr">
        <is>
          <t>Savings</t>
        </is>
      </c>
      <c r="J555" s="7" t="inlineStr">
        <is>
          <t>Travel</t>
        </is>
      </c>
      <c r="K555" s="9" t="n">
        <v>4089.28</v>
      </c>
      <c r="L555" s="9" t="n">
        <v>35073.26</v>
      </c>
      <c r="M555" s="7" t="inlineStr">
        <is>
          <t>Online Banking</t>
        </is>
      </c>
      <c r="N555" s="7" t="inlineStr">
        <is>
          <t>N</t>
        </is>
      </c>
      <c r="O555" s="7">
        <f>TEXT(D555, "dddd")</f>
        <v/>
      </c>
      <c r="P555" s="7">
        <f>"Q"&amp;ROUNDUP(MONTH(D555)/3, 0)</f>
        <v/>
      </c>
    </row>
    <row r="556">
      <c r="A556" s="4" t="inlineStr">
        <is>
          <t>TXN100559</t>
        </is>
      </c>
      <c r="B556" s="4" t="inlineStr">
        <is>
          <t>CUST0559</t>
        </is>
      </c>
      <c r="C556" s="4" t="inlineStr">
        <is>
          <t>2026-06-01 21:02:00</t>
        </is>
      </c>
      <c r="D556" s="4">
        <f>TEXT(LEFT(C556,10),"YYYY-MM-DD")</f>
        <v/>
      </c>
      <c r="E556" s="5">
        <f>HOUR(C556)</f>
        <v/>
      </c>
      <c r="F556" s="4" t="inlineStr">
        <is>
          <t>Female</t>
        </is>
      </c>
      <c r="G556" s="5" t="n">
        <v>35</v>
      </c>
      <c r="H556" s="4">
        <f>IF(G556&gt;=60, "Boomer", IF(G556&gt;=45, "Gen X", IF(G556&gt;=25, "Millennial", "Gen Z")))</f>
        <v/>
      </c>
      <c r="I556" s="4" t="inlineStr">
        <is>
          <t>Investment</t>
        </is>
      </c>
      <c r="J556" s="4" t="inlineStr">
        <is>
          <t>Groceries</t>
        </is>
      </c>
      <c r="K556" s="6" t="n">
        <v>7805.41</v>
      </c>
      <c r="L556" s="6" t="n">
        <v>4798.72</v>
      </c>
      <c r="M556" s="4" t="inlineStr">
        <is>
          <t>Branch Office</t>
        </is>
      </c>
      <c r="N556" s="4" t="inlineStr">
        <is>
          <t>Y</t>
        </is>
      </c>
      <c r="O556" s="4">
        <f>TEXT(D556, "dddd")</f>
        <v/>
      </c>
      <c r="P556" s="4">
        <f>"Q"&amp;ROUNDUP(MONTH(D556)/3, 0)</f>
        <v/>
      </c>
    </row>
    <row r="557">
      <c r="A557" s="7" t="inlineStr">
        <is>
          <t>TXN100560</t>
        </is>
      </c>
      <c r="B557" s="7" t="inlineStr">
        <is>
          <t>CUST0560</t>
        </is>
      </c>
      <c r="C557" s="7" t="inlineStr">
        <is>
          <t>2026-06-01 11:42:00</t>
        </is>
      </c>
      <c r="D557" s="7">
        <f>TEXT(LEFT(C557,10),"YYYY-MM-DD")</f>
        <v/>
      </c>
      <c r="E557" s="8">
        <f>HOUR(C557)</f>
        <v/>
      </c>
      <c r="F557" s="7" t="inlineStr">
        <is>
          <t>Unspecified</t>
        </is>
      </c>
      <c r="G557" s="8" t="n">
        <v>45</v>
      </c>
      <c r="H557" s="7">
        <f>IF(G557&gt;=60, "Boomer", IF(G557&gt;=45, "Gen X", IF(G557&gt;=25, "Millennial", "Gen Z")))</f>
        <v/>
      </c>
      <c r="I557" s="7" t="inlineStr">
        <is>
          <t>Investment</t>
        </is>
      </c>
      <c r="J557" s="7" t="inlineStr">
        <is>
          <t>Groceries</t>
        </is>
      </c>
      <c r="K557" s="9" t="n">
        <v>4146.76</v>
      </c>
      <c r="L557" s="9" t="n">
        <v>36977.81</v>
      </c>
      <c r="M557" s="7" t="inlineStr">
        <is>
          <t>Mobile App</t>
        </is>
      </c>
      <c r="N557" s="7" t="inlineStr">
        <is>
          <t>N</t>
        </is>
      </c>
      <c r="O557" s="7">
        <f>TEXT(D557, "dddd")</f>
        <v/>
      </c>
      <c r="P557" s="7">
        <f>"Q"&amp;ROUNDUP(MONTH(D557)/3, 0)</f>
        <v/>
      </c>
    </row>
    <row r="558">
      <c r="A558" s="4" t="inlineStr">
        <is>
          <t>TXN100561</t>
        </is>
      </c>
      <c r="B558" s="4" t="inlineStr">
        <is>
          <t>CUST0561</t>
        </is>
      </c>
      <c r="C558" s="4" t="inlineStr">
        <is>
          <t>2026-06-01 02:35:00</t>
        </is>
      </c>
      <c r="D558" s="4">
        <f>TEXT(LEFT(C558,10),"YYYY-MM-DD")</f>
        <v/>
      </c>
      <c r="E558" s="5">
        <f>HOUR(C558)</f>
        <v/>
      </c>
      <c r="F558" s="4" t="inlineStr">
        <is>
          <t>Female</t>
        </is>
      </c>
      <c r="G558" s="5" t="n">
        <v>66</v>
      </c>
      <c r="H558" s="4">
        <f>IF(G558&gt;=60, "Boomer", IF(G558&gt;=45, "Gen X", IF(G558&gt;=25, "Millennial", "Gen Z")))</f>
        <v/>
      </c>
      <c r="I558" s="4" t="inlineStr">
        <is>
          <t>Investment</t>
        </is>
      </c>
      <c r="J558" s="4" t="inlineStr">
        <is>
          <t>Travel</t>
        </is>
      </c>
      <c r="K558" s="6" t="n">
        <v>2791.28</v>
      </c>
      <c r="L558" s="6" t="n">
        <v>48182.74</v>
      </c>
      <c r="M558" s="4" t="inlineStr">
        <is>
          <t>Branch Office</t>
        </is>
      </c>
      <c r="N558" s="4" t="inlineStr">
        <is>
          <t>N</t>
        </is>
      </c>
      <c r="O558" s="4">
        <f>TEXT(D558, "dddd")</f>
        <v/>
      </c>
      <c r="P558" s="4">
        <f>"Q"&amp;ROUNDUP(MONTH(D558)/3, 0)</f>
        <v/>
      </c>
    </row>
    <row r="559">
      <c r="A559" s="7" t="inlineStr">
        <is>
          <t>TXN100562</t>
        </is>
      </c>
      <c r="B559" s="7" t="inlineStr">
        <is>
          <t>CUST0562</t>
        </is>
      </c>
      <c r="C559" s="7" t="inlineStr">
        <is>
          <t>2026-06-01 07:38:00</t>
        </is>
      </c>
      <c r="D559" s="7">
        <f>TEXT(LEFT(C559,10),"YYYY-MM-DD")</f>
        <v/>
      </c>
      <c r="E559" s="8">
        <f>HOUR(C559)</f>
        <v/>
      </c>
      <c r="F559" s="7" t="inlineStr">
        <is>
          <t>Female</t>
        </is>
      </c>
      <c r="G559" s="8" t="n">
        <v>49</v>
      </c>
      <c r="H559" s="7">
        <f>IF(G559&gt;=60, "Boomer", IF(G559&gt;=45, "Gen X", IF(G559&gt;=25, "Millennial", "Gen Z")))</f>
        <v/>
      </c>
      <c r="I559" s="7" t="inlineStr">
        <is>
          <t>Checking</t>
        </is>
      </c>
      <c r="J559" s="7" t="inlineStr">
        <is>
          <t>Travel</t>
        </is>
      </c>
      <c r="K559" s="9" t="n">
        <v>47.17</v>
      </c>
      <c r="L559" s="9" t="n">
        <v>9164.219999999999</v>
      </c>
      <c r="M559" s="7" t="inlineStr">
        <is>
          <t>Mobile App</t>
        </is>
      </c>
      <c r="N559" s="7" t="inlineStr">
        <is>
          <t>N</t>
        </is>
      </c>
      <c r="O559" s="7">
        <f>TEXT(D559, "dddd")</f>
        <v/>
      </c>
      <c r="P559" s="7">
        <f>"Q"&amp;ROUNDUP(MONTH(D559)/3, 0)</f>
        <v/>
      </c>
    </row>
    <row r="560">
      <c r="A560" s="4" t="inlineStr">
        <is>
          <t>TXN100563</t>
        </is>
      </c>
      <c r="B560" s="4" t="inlineStr">
        <is>
          <t>CUST0563</t>
        </is>
      </c>
      <c r="C560" s="4" t="inlineStr">
        <is>
          <t>2026-06-01 17:04:00</t>
        </is>
      </c>
      <c r="D560" s="4">
        <f>TEXT(LEFT(C560,10),"YYYY-MM-DD")</f>
        <v/>
      </c>
      <c r="E560" s="5">
        <f>HOUR(C560)</f>
        <v/>
      </c>
      <c r="F560" s="4" t="inlineStr">
        <is>
          <t>Female</t>
        </is>
      </c>
      <c r="G560" s="5" t="n">
        <v>41</v>
      </c>
      <c r="H560" s="4">
        <f>IF(G560&gt;=60, "Boomer", IF(G560&gt;=45, "Gen X", IF(G560&gt;=25, "Millennial", "Gen Z")))</f>
        <v/>
      </c>
      <c r="I560" s="4" t="inlineStr">
        <is>
          <t>Savings</t>
        </is>
      </c>
      <c r="J560" s="4" t="inlineStr">
        <is>
          <t>Travel</t>
        </is>
      </c>
      <c r="K560" s="6" t="n">
        <v>7654.11</v>
      </c>
      <c r="L560" s="6" t="n">
        <v>43867.6</v>
      </c>
      <c r="M560" s="4" t="inlineStr">
        <is>
          <t>Branch Office</t>
        </is>
      </c>
      <c r="N560" s="4" t="inlineStr">
        <is>
          <t>Y</t>
        </is>
      </c>
      <c r="O560" s="4">
        <f>TEXT(D560, "dddd")</f>
        <v/>
      </c>
      <c r="P560" s="4">
        <f>"Q"&amp;ROUNDUP(MONTH(D560)/3, 0)</f>
        <v/>
      </c>
    </row>
    <row r="561">
      <c r="A561" s="7" t="inlineStr">
        <is>
          <t>TXN100564</t>
        </is>
      </c>
      <c r="B561" s="7" t="inlineStr">
        <is>
          <t>CUST0564</t>
        </is>
      </c>
      <c r="C561" s="7" t="inlineStr">
        <is>
          <t>2026-06-01 12:36:00</t>
        </is>
      </c>
      <c r="D561" s="7">
        <f>TEXT(LEFT(C561,10),"YYYY-MM-DD")</f>
        <v/>
      </c>
      <c r="E561" s="8">
        <f>HOUR(C561)</f>
        <v/>
      </c>
      <c r="F561" s="7" t="inlineStr">
        <is>
          <t>Unspecified</t>
        </is>
      </c>
      <c r="G561" s="8" t="n">
        <v>69</v>
      </c>
      <c r="H561" s="7">
        <f>IF(G561&gt;=60, "Boomer", IF(G561&gt;=45, "Gen X", IF(G561&gt;=25, "Millennial", "Gen Z")))</f>
        <v/>
      </c>
      <c r="I561" s="7" t="inlineStr">
        <is>
          <t>Savings</t>
        </is>
      </c>
      <c r="J561" s="7" t="inlineStr">
        <is>
          <t>Entertainment</t>
        </is>
      </c>
      <c r="K561" s="9" t="n">
        <v>7690.3</v>
      </c>
      <c r="L561" s="9" t="n">
        <v>23213</v>
      </c>
      <c r="M561" s="7" t="inlineStr">
        <is>
          <t>ATM</t>
        </is>
      </c>
      <c r="N561" s="7" t="inlineStr">
        <is>
          <t>Y</t>
        </is>
      </c>
      <c r="O561" s="7">
        <f>TEXT(D561, "dddd")</f>
        <v/>
      </c>
      <c r="P561" s="7">
        <f>"Q"&amp;ROUNDUP(MONTH(D561)/3, 0)</f>
        <v/>
      </c>
    </row>
    <row r="562">
      <c r="A562" s="4" t="inlineStr">
        <is>
          <t>TXN100565</t>
        </is>
      </c>
      <c r="B562" s="4" t="inlineStr">
        <is>
          <t>CUST0565</t>
        </is>
      </c>
      <c r="C562" s="4" t="inlineStr">
        <is>
          <t>2026-06-01 00:30:00</t>
        </is>
      </c>
      <c r="D562" s="4">
        <f>TEXT(LEFT(C562,10),"YYYY-MM-DD")</f>
        <v/>
      </c>
      <c r="E562" s="5">
        <f>HOUR(C562)</f>
        <v/>
      </c>
      <c r="F562" s="4" t="inlineStr">
        <is>
          <t>Male</t>
        </is>
      </c>
      <c r="G562" s="5" t="n">
        <v>36</v>
      </c>
      <c r="H562" s="4">
        <f>IF(G562&gt;=60, "Boomer", IF(G562&gt;=45, "Gen X", IF(G562&gt;=25, "Millennial", "Gen Z")))</f>
        <v/>
      </c>
      <c r="I562" s="4" t="inlineStr">
        <is>
          <t>Savings</t>
        </is>
      </c>
      <c r="J562" s="4" t="inlineStr">
        <is>
          <t>Utilities</t>
        </is>
      </c>
      <c r="K562" s="6" t="n">
        <v>5072.96</v>
      </c>
      <c r="L562" s="6" t="n">
        <v>49712.8</v>
      </c>
      <c r="M562" s="4" t="inlineStr">
        <is>
          <t>Online Banking</t>
        </is>
      </c>
      <c r="N562" s="4" t="inlineStr">
        <is>
          <t>N</t>
        </is>
      </c>
      <c r="O562" s="4">
        <f>TEXT(D562, "dddd")</f>
        <v/>
      </c>
      <c r="P562" s="4">
        <f>"Q"&amp;ROUNDUP(MONTH(D562)/3, 0)</f>
        <v/>
      </c>
    </row>
    <row r="563">
      <c r="A563" s="7" t="inlineStr">
        <is>
          <t>TXN100566</t>
        </is>
      </c>
      <c r="B563" s="7" t="inlineStr">
        <is>
          <t>CUST0566</t>
        </is>
      </c>
      <c r="C563" s="7" t="inlineStr">
        <is>
          <t>2026-06-01 10:26:00</t>
        </is>
      </c>
      <c r="D563" s="7">
        <f>TEXT(LEFT(C563,10),"YYYY-MM-DD")</f>
        <v/>
      </c>
      <c r="E563" s="8">
        <f>HOUR(C563)</f>
        <v/>
      </c>
      <c r="F563" s="7" t="inlineStr">
        <is>
          <t>Female</t>
        </is>
      </c>
      <c r="G563" s="8" t="n">
        <v>53</v>
      </c>
      <c r="H563" s="7">
        <f>IF(G563&gt;=60, "Boomer", IF(G563&gt;=45, "Gen X", IF(G563&gt;=25, "Millennial", "Gen Z")))</f>
        <v/>
      </c>
      <c r="I563" s="7" t="inlineStr">
        <is>
          <t>Investment</t>
        </is>
      </c>
      <c r="J563" s="7" t="inlineStr">
        <is>
          <t>Groceries</t>
        </is>
      </c>
      <c r="K563" s="9" t="n">
        <v>5609.54</v>
      </c>
      <c r="L563" s="9" t="n">
        <v>13535.81</v>
      </c>
      <c r="M563" s="7" t="inlineStr">
        <is>
          <t>Branch Office</t>
        </is>
      </c>
      <c r="N563" s="7" t="inlineStr">
        <is>
          <t>N</t>
        </is>
      </c>
      <c r="O563" s="7">
        <f>TEXT(D563, "dddd")</f>
        <v/>
      </c>
      <c r="P563" s="7">
        <f>"Q"&amp;ROUNDUP(MONTH(D563)/3, 0)</f>
        <v/>
      </c>
    </row>
    <row r="564">
      <c r="A564" s="4" t="inlineStr">
        <is>
          <t>TXN100567</t>
        </is>
      </c>
      <c r="B564" s="4" t="inlineStr">
        <is>
          <t>CUST0567</t>
        </is>
      </c>
      <c r="C564" s="4" t="inlineStr">
        <is>
          <t>2026-06-01 02:25:00</t>
        </is>
      </c>
      <c r="D564" s="4">
        <f>TEXT(LEFT(C564,10),"YYYY-MM-DD")</f>
        <v/>
      </c>
      <c r="E564" s="5">
        <f>HOUR(C564)</f>
        <v/>
      </c>
      <c r="F564" s="4" t="inlineStr">
        <is>
          <t>Female</t>
        </is>
      </c>
      <c r="G564" s="5" t="n">
        <v>24</v>
      </c>
      <c r="H564" s="4">
        <f>IF(G564&gt;=60, "Boomer", IF(G564&gt;=45, "Gen X", IF(G564&gt;=25, "Millennial", "Gen Z")))</f>
        <v/>
      </c>
      <c r="I564" s="4" t="inlineStr">
        <is>
          <t>Investment</t>
        </is>
      </c>
      <c r="J564" s="4" t="inlineStr">
        <is>
          <t>Groceries</t>
        </is>
      </c>
      <c r="K564" s="6" t="n">
        <v>3817.68</v>
      </c>
      <c r="L564" s="6" t="n">
        <v>18000.13</v>
      </c>
      <c r="M564" s="4" t="inlineStr">
        <is>
          <t>Branch Office</t>
        </is>
      </c>
      <c r="N564" s="4" t="inlineStr">
        <is>
          <t>N</t>
        </is>
      </c>
      <c r="O564" s="4">
        <f>TEXT(D564, "dddd")</f>
        <v/>
      </c>
      <c r="P564" s="4">
        <f>"Q"&amp;ROUNDUP(MONTH(D564)/3, 0)</f>
        <v/>
      </c>
    </row>
    <row r="565">
      <c r="A565" s="7" t="inlineStr">
        <is>
          <t>TXN100568</t>
        </is>
      </c>
      <c r="B565" s="7" t="inlineStr">
        <is>
          <t>CUST0568</t>
        </is>
      </c>
      <c r="C565" s="7" t="inlineStr">
        <is>
          <t>2026-06-01 05:47:00</t>
        </is>
      </c>
      <c r="D565" s="7">
        <f>TEXT(LEFT(C565,10),"YYYY-MM-DD")</f>
        <v/>
      </c>
      <c r="E565" s="8">
        <f>HOUR(C565)</f>
        <v/>
      </c>
      <c r="F565" s="7" t="inlineStr">
        <is>
          <t>Female</t>
        </is>
      </c>
      <c r="G565" s="8" t="n">
        <v>51</v>
      </c>
      <c r="H565" s="7">
        <f>IF(G565&gt;=60, "Boomer", IF(G565&gt;=45, "Gen X", IF(G565&gt;=25, "Millennial", "Gen Z")))</f>
        <v/>
      </c>
      <c r="I565" s="7" t="inlineStr">
        <is>
          <t>Investment</t>
        </is>
      </c>
      <c r="J565" s="7" t="inlineStr">
        <is>
          <t>Groceries</t>
        </is>
      </c>
      <c r="K565" s="9" t="n">
        <v>1886.54</v>
      </c>
      <c r="L565" s="9" t="n">
        <v>12481.8</v>
      </c>
      <c r="M565" s="7" t="inlineStr">
        <is>
          <t>Branch Office</t>
        </is>
      </c>
      <c r="N565" s="7" t="inlineStr">
        <is>
          <t>N</t>
        </is>
      </c>
      <c r="O565" s="7">
        <f>TEXT(D565, "dddd")</f>
        <v/>
      </c>
      <c r="P565" s="7">
        <f>"Q"&amp;ROUNDUP(MONTH(D565)/3, 0)</f>
        <v/>
      </c>
    </row>
    <row r="566">
      <c r="A566" s="4" t="inlineStr">
        <is>
          <t>TXN100569</t>
        </is>
      </c>
      <c r="B566" s="4" t="inlineStr">
        <is>
          <t>CUST0569</t>
        </is>
      </c>
      <c r="C566" s="4" t="inlineStr">
        <is>
          <t>2026-06-01 06:14:00</t>
        </is>
      </c>
      <c r="D566" s="4">
        <f>TEXT(LEFT(C566,10),"YYYY-MM-DD")</f>
        <v/>
      </c>
      <c r="E566" s="5">
        <f>HOUR(C566)</f>
        <v/>
      </c>
      <c r="F566" s="4" t="inlineStr">
        <is>
          <t>Female</t>
        </is>
      </c>
      <c r="G566" s="5" t="n">
        <v>73</v>
      </c>
      <c r="H566" s="4">
        <f>IF(G566&gt;=60, "Boomer", IF(G566&gt;=45, "Gen X", IF(G566&gt;=25, "Millennial", "Gen Z")))</f>
        <v/>
      </c>
      <c r="I566" s="4" t="inlineStr">
        <is>
          <t>Savings</t>
        </is>
      </c>
      <c r="J566" s="4" t="inlineStr">
        <is>
          <t>Travel</t>
        </is>
      </c>
      <c r="K566" s="6" t="n">
        <v>2854.66</v>
      </c>
      <c r="L566" s="6" t="n">
        <v>39057.45</v>
      </c>
      <c r="M566" s="4" t="inlineStr">
        <is>
          <t>Mobile App</t>
        </is>
      </c>
      <c r="N566" s="4" t="inlineStr">
        <is>
          <t>N</t>
        </is>
      </c>
      <c r="O566" s="4">
        <f>TEXT(D566, "dddd")</f>
        <v/>
      </c>
      <c r="P566" s="4">
        <f>"Q"&amp;ROUNDUP(MONTH(D566)/3, 0)</f>
        <v/>
      </c>
    </row>
    <row r="567">
      <c r="A567" s="7" t="inlineStr">
        <is>
          <t>TXN100570</t>
        </is>
      </c>
      <c r="B567" s="7" t="inlineStr">
        <is>
          <t>CUST0570</t>
        </is>
      </c>
      <c r="C567" s="7" t="inlineStr">
        <is>
          <t>2026-06-01 02:43:00</t>
        </is>
      </c>
      <c r="D567" s="7">
        <f>TEXT(LEFT(C567,10),"YYYY-MM-DD")</f>
        <v/>
      </c>
      <c r="E567" s="8">
        <f>HOUR(C567)</f>
        <v/>
      </c>
      <c r="F567" s="7" t="inlineStr">
        <is>
          <t>Unspecified</t>
        </is>
      </c>
      <c r="G567" s="8" t="n">
        <v>59</v>
      </c>
      <c r="H567" s="7">
        <f>IF(G567&gt;=60, "Boomer", IF(G567&gt;=45, "Gen X", IF(G567&gt;=25, "Millennial", "Gen Z")))</f>
        <v/>
      </c>
      <c r="I567" s="7" t="inlineStr">
        <is>
          <t>Savings</t>
        </is>
      </c>
      <c r="J567" s="7" t="inlineStr">
        <is>
          <t>Travel</t>
        </is>
      </c>
      <c r="K567" s="9" t="n">
        <v>7664.36</v>
      </c>
      <c r="L567" s="9" t="n">
        <v>42476.52</v>
      </c>
      <c r="M567" s="7" t="inlineStr">
        <is>
          <t>Branch Office</t>
        </is>
      </c>
      <c r="N567" s="7" t="inlineStr">
        <is>
          <t>Y</t>
        </is>
      </c>
      <c r="O567" s="7">
        <f>TEXT(D567, "dddd")</f>
        <v/>
      </c>
      <c r="P567" s="7">
        <f>"Q"&amp;ROUNDUP(MONTH(D567)/3, 0)</f>
        <v/>
      </c>
    </row>
    <row r="568">
      <c r="A568" s="4" t="inlineStr">
        <is>
          <t>TXN100571</t>
        </is>
      </c>
      <c r="B568" s="4" t="inlineStr">
        <is>
          <t>CUST0571</t>
        </is>
      </c>
      <c r="C568" s="4" t="inlineStr">
        <is>
          <t>2026-06-01 15:57:00</t>
        </is>
      </c>
      <c r="D568" s="4">
        <f>TEXT(LEFT(C568,10),"YYYY-MM-DD")</f>
        <v/>
      </c>
      <c r="E568" s="5">
        <f>HOUR(C568)</f>
        <v/>
      </c>
      <c r="F568" s="4" t="inlineStr">
        <is>
          <t>Female</t>
        </is>
      </c>
      <c r="G568" s="5" t="n">
        <v>51</v>
      </c>
      <c r="H568" s="4">
        <f>IF(G568&gt;=60, "Boomer", IF(G568&gt;=45, "Gen X", IF(G568&gt;=25, "Millennial", "Gen Z")))</f>
        <v/>
      </c>
      <c r="I568" s="4" t="inlineStr">
        <is>
          <t>Savings</t>
        </is>
      </c>
      <c r="J568" s="4" t="inlineStr">
        <is>
          <t>Travel</t>
        </is>
      </c>
      <c r="K568" s="6" t="n">
        <v>2249.33</v>
      </c>
      <c r="L568" s="6" t="n">
        <v>11493.59</v>
      </c>
      <c r="M568" s="4" t="inlineStr">
        <is>
          <t>Online Banking</t>
        </is>
      </c>
      <c r="N568" s="4" t="inlineStr">
        <is>
          <t>N</t>
        </is>
      </c>
      <c r="O568" s="4">
        <f>TEXT(D568, "dddd")</f>
        <v/>
      </c>
      <c r="P568" s="4">
        <f>"Q"&amp;ROUNDUP(MONTH(D568)/3, 0)</f>
        <v/>
      </c>
    </row>
    <row r="569">
      <c r="A569" s="7" t="inlineStr">
        <is>
          <t>TXN100572</t>
        </is>
      </c>
      <c r="B569" s="7" t="inlineStr">
        <is>
          <t>CUST0572</t>
        </is>
      </c>
      <c r="C569" s="7" t="inlineStr">
        <is>
          <t>2026-06-01 01:33:00</t>
        </is>
      </c>
      <c r="D569" s="7">
        <f>TEXT(LEFT(C569,10),"YYYY-MM-DD")</f>
        <v/>
      </c>
      <c r="E569" s="8">
        <f>HOUR(C569)</f>
        <v/>
      </c>
      <c r="F569" s="7" t="inlineStr">
        <is>
          <t>Unspecified</t>
        </is>
      </c>
      <c r="G569" s="8" t="n">
        <v>50</v>
      </c>
      <c r="H569" s="7">
        <f>IF(G569&gt;=60, "Boomer", IF(G569&gt;=45, "Gen X", IF(G569&gt;=25, "Millennial", "Gen Z")))</f>
        <v/>
      </c>
      <c r="I569" s="7" t="inlineStr">
        <is>
          <t>Investment</t>
        </is>
      </c>
      <c r="J569" s="7" t="inlineStr">
        <is>
          <t>Groceries</t>
        </is>
      </c>
      <c r="K569" s="9" t="n">
        <v>4024.78</v>
      </c>
      <c r="L569" s="9" t="n">
        <v>19988.99</v>
      </c>
      <c r="M569" s="7" t="inlineStr">
        <is>
          <t>Online Banking</t>
        </is>
      </c>
      <c r="N569" s="7" t="inlineStr">
        <is>
          <t>N</t>
        </is>
      </c>
      <c r="O569" s="7">
        <f>TEXT(D569, "dddd")</f>
        <v/>
      </c>
      <c r="P569" s="7">
        <f>"Q"&amp;ROUNDUP(MONTH(D569)/3, 0)</f>
        <v/>
      </c>
    </row>
    <row r="570">
      <c r="A570" s="4" t="inlineStr">
        <is>
          <t>TXN100573</t>
        </is>
      </c>
      <c r="B570" s="4" t="inlineStr">
        <is>
          <t>CUST0573</t>
        </is>
      </c>
      <c r="C570" s="4" t="inlineStr">
        <is>
          <t>2026-06-01 14:07:00</t>
        </is>
      </c>
      <c r="D570" s="4">
        <f>TEXT(LEFT(C570,10),"YYYY-MM-DD")</f>
        <v/>
      </c>
      <c r="E570" s="5">
        <f>HOUR(C570)</f>
        <v/>
      </c>
      <c r="F570" s="4" t="inlineStr">
        <is>
          <t>Unspecified</t>
        </is>
      </c>
      <c r="G570" s="5" t="n">
        <v>40</v>
      </c>
      <c r="H570" s="4">
        <f>IF(G570&gt;=60, "Boomer", IF(G570&gt;=45, "Gen X", IF(G570&gt;=25, "Millennial", "Gen Z")))</f>
        <v/>
      </c>
      <c r="I570" s="4" t="inlineStr">
        <is>
          <t>Investment</t>
        </is>
      </c>
      <c r="J570" s="4" t="inlineStr">
        <is>
          <t>Groceries</t>
        </is>
      </c>
      <c r="K570" s="6" t="n">
        <v>104.44</v>
      </c>
      <c r="L570" s="6" t="n">
        <v>10932.24</v>
      </c>
      <c r="M570" s="4" t="inlineStr">
        <is>
          <t>Mobile App</t>
        </is>
      </c>
      <c r="N570" s="4" t="inlineStr">
        <is>
          <t>N</t>
        </is>
      </c>
      <c r="O570" s="4">
        <f>TEXT(D570, "dddd")</f>
        <v/>
      </c>
      <c r="P570" s="4">
        <f>"Q"&amp;ROUNDUP(MONTH(D570)/3, 0)</f>
        <v/>
      </c>
    </row>
    <row r="571">
      <c r="A571" s="7" t="inlineStr">
        <is>
          <t>TXN100574</t>
        </is>
      </c>
      <c r="B571" s="7" t="inlineStr">
        <is>
          <t>CUST0574</t>
        </is>
      </c>
      <c r="C571" s="7" t="inlineStr">
        <is>
          <t>2026-06-01 10:23:00</t>
        </is>
      </c>
      <c r="D571" s="7">
        <f>TEXT(LEFT(C571,10),"YYYY-MM-DD")</f>
        <v/>
      </c>
      <c r="E571" s="8">
        <f>HOUR(C571)</f>
        <v/>
      </c>
      <c r="F571" s="7" t="inlineStr">
        <is>
          <t>Female</t>
        </is>
      </c>
      <c r="G571" s="8" t="n">
        <v>31</v>
      </c>
      <c r="H571" s="7">
        <f>IF(G571&gt;=60, "Boomer", IF(G571&gt;=45, "Gen X", IF(G571&gt;=25, "Millennial", "Gen Z")))</f>
        <v/>
      </c>
      <c r="I571" s="7" t="inlineStr">
        <is>
          <t>Investment</t>
        </is>
      </c>
      <c r="J571" s="7" t="inlineStr">
        <is>
          <t>Entertainment</t>
        </is>
      </c>
      <c r="K571" s="9" t="n">
        <v>1904.74</v>
      </c>
      <c r="L571" s="9" t="n">
        <v>23831.6</v>
      </c>
      <c r="M571" s="7" t="inlineStr">
        <is>
          <t>Branch Office</t>
        </is>
      </c>
      <c r="N571" s="7" t="inlineStr">
        <is>
          <t>N</t>
        </is>
      </c>
      <c r="O571" s="7">
        <f>TEXT(D571, "dddd")</f>
        <v/>
      </c>
      <c r="P571" s="7">
        <f>"Q"&amp;ROUNDUP(MONTH(D571)/3, 0)</f>
        <v/>
      </c>
    </row>
    <row r="572">
      <c r="A572" s="4" t="inlineStr">
        <is>
          <t>TXN100575</t>
        </is>
      </c>
      <c r="B572" s="4" t="inlineStr">
        <is>
          <t>CUST0575</t>
        </is>
      </c>
      <c r="C572" s="4" t="inlineStr">
        <is>
          <t>2026-06-01 11:11:00</t>
        </is>
      </c>
      <c r="D572" s="4">
        <f>TEXT(LEFT(C572,10),"YYYY-MM-DD")</f>
        <v/>
      </c>
      <c r="E572" s="5">
        <f>HOUR(C572)</f>
        <v/>
      </c>
      <c r="F572" s="4" t="inlineStr">
        <is>
          <t>Unspecified</t>
        </is>
      </c>
      <c r="G572" s="5" t="n">
        <v>47</v>
      </c>
      <c r="H572" s="4">
        <f>IF(G572&gt;=60, "Boomer", IF(G572&gt;=45, "Gen X", IF(G572&gt;=25, "Millennial", "Gen Z")))</f>
        <v/>
      </c>
      <c r="I572" s="4" t="inlineStr">
        <is>
          <t>Savings</t>
        </is>
      </c>
      <c r="J572" s="4" t="inlineStr">
        <is>
          <t>Utilities</t>
        </is>
      </c>
      <c r="K572" s="6" t="n">
        <v>5608.69</v>
      </c>
      <c r="L572" s="6" t="n">
        <v>18929.33</v>
      </c>
      <c r="M572" s="4" t="inlineStr">
        <is>
          <t>ATM</t>
        </is>
      </c>
      <c r="N572" s="4" t="inlineStr">
        <is>
          <t>N</t>
        </is>
      </c>
      <c r="O572" s="4">
        <f>TEXT(D572, "dddd")</f>
        <v/>
      </c>
      <c r="P572" s="4">
        <f>"Q"&amp;ROUNDUP(MONTH(D572)/3, 0)</f>
        <v/>
      </c>
    </row>
    <row r="573">
      <c r="A573" s="7" t="inlineStr">
        <is>
          <t>TXN100576</t>
        </is>
      </c>
      <c r="B573" s="7" t="inlineStr">
        <is>
          <t>CUST0576</t>
        </is>
      </c>
      <c r="C573" s="7" t="inlineStr">
        <is>
          <t>2026-06-01 08:28:00</t>
        </is>
      </c>
      <c r="D573" s="7">
        <f>TEXT(LEFT(C573,10),"YYYY-MM-DD")</f>
        <v/>
      </c>
      <c r="E573" s="8">
        <f>HOUR(C573)</f>
        <v/>
      </c>
      <c r="F573" s="7" t="inlineStr">
        <is>
          <t>Male</t>
        </is>
      </c>
      <c r="G573" s="8" t="n">
        <v>56</v>
      </c>
      <c r="H573" s="7">
        <f>IF(G573&gt;=60, "Boomer", IF(G573&gt;=45, "Gen X", IF(G573&gt;=25, "Millennial", "Gen Z")))</f>
        <v/>
      </c>
      <c r="I573" s="7" t="inlineStr">
        <is>
          <t>Savings</t>
        </is>
      </c>
      <c r="J573" s="7" t="inlineStr">
        <is>
          <t>Travel</t>
        </is>
      </c>
      <c r="K573" s="9" t="n">
        <v>5491.24</v>
      </c>
      <c r="L573" s="9" t="n">
        <v>40802.44</v>
      </c>
      <c r="M573" s="7" t="inlineStr">
        <is>
          <t>Branch Office</t>
        </is>
      </c>
      <c r="N573" s="7" t="inlineStr">
        <is>
          <t>N</t>
        </is>
      </c>
      <c r="O573" s="7">
        <f>TEXT(D573, "dddd")</f>
        <v/>
      </c>
      <c r="P573" s="7">
        <f>"Q"&amp;ROUNDUP(MONTH(D573)/3, 0)</f>
        <v/>
      </c>
    </row>
    <row r="574">
      <c r="A574" s="4" t="inlineStr">
        <is>
          <t>TXN100577</t>
        </is>
      </c>
      <c r="B574" s="4" t="inlineStr">
        <is>
          <t>CUST0577</t>
        </is>
      </c>
      <c r="C574" s="4" t="inlineStr">
        <is>
          <t>2026-06-01 07:35:00</t>
        </is>
      </c>
      <c r="D574" s="4">
        <f>TEXT(LEFT(C574,10),"YYYY-MM-DD")</f>
        <v/>
      </c>
      <c r="E574" s="5">
        <f>HOUR(C574)</f>
        <v/>
      </c>
      <c r="F574" s="4" t="inlineStr">
        <is>
          <t>Unspecified</t>
        </is>
      </c>
      <c r="G574" s="5" t="n">
        <v>74</v>
      </c>
      <c r="H574" s="4">
        <f>IF(G574&gt;=60, "Boomer", IF(G574&gt;=45, "Gen X", IF(G574&gt;=25, "Millennial", "Gen Z")))</f>
        <v/>
      </c>
      <c r="I574" s="4" t="inlineStr">
        <is>
          <t>Checking</t>
        </is>
      </c>
      <c r="J574" s="4" t="inlineStr">
        <is>
          <t>Groceries</t>
        </is>
      </c>
      <c r="K574" s="6" t="n">
        <v>1175.29</v>
      </c>
      <c r="L574" s="6" t="n">
        <v>47977.82</v>
      </c>
      <c r="M574" s="4" t="inlineStr">
        <is>
          <t>Online Banking</t>
        </is>
      </c>
      <c r="N574" s="4" t="inlineStr">
        <is>
          <t>N</t>
        </is>
      </c>
      <c r="O574" s="4">
        <f>TEXT(D574, "dddd")</f>
        <v/>
      </c>
      <c r="P574" s="4">
        <f>"Q"&amp;ROUNDUP(MONTH(D574)/3, 0)</f>
        <v/>
      </c>
    </row>
    <row r="575">
      <c r="A575" s="7" t="inlineStr">
        <is>
          <t>TXN100578</t>
        </is>
      </c>
      <c r="B575" s="7" t="inlineStr">
        <is>
          <t>CUST0578</t>
        </is>
      </c>
      <c r="C575" s="7" t="inlineStr">
        <is>
          <t>2026-06-01 15:51:00</t>
        </is>
      </c>
      <c r="D575" s="7">
        <f>TEXT(LEFT(C575,10),"YYYY-MM-DD")</f>
        <v/>
      </c>
      <c r="E575" s="8">
        <f>HOUR(C575)</f>
        <v/>
      </c>
      <c r="F575" s="7" t="inlineStr">
        <is>
          <t>Male</t>
        </is>
      </c>
      <c r="G575" s="8" t="n">
        <v>31</v>
      </c>
      <c r="H575" s="7">
        <f>IF(G575&gt;=60, "Boomer", IF(G575&gt;=45, "Gen X", IF(G575&gt;=25, "Millennial", "Gen Z")))</f>
        <v/>
      </c>
      <c r="I575" s="7" t="inlineStr">
        <is>
          <t>Checking</t>
        </is>
      </c>
      <c r="J575" s="7" t="inlineStr">
        <is>
          <t>Utilities</t>
        </is>
      </c>
      <c r="K575" s="9" t="n">
        <v>1084.43</v>
      </c>
      <c r="L575" s="9" t="n">
        <v>44716.89</v>
      </c>
      <c r="M575" s="7" t="inlineStr">
        <is>
          <t>Branch Office</t>
        </is>
      </c>
      <c r="N575" s="7" t="inlineStr">
        <is>
          <t>N</t>
        </is>
      </c>
      <c r="O575" s="7">
        <f>TEXT(D575, "dddd")</f>
        <v/>
      </c>
      <c r="P575" s="7">
        <f>"Q"&amp;ROUNDUP(MONTH(D575)/3, 0)</f>
        <v/>
      </c>
    </row>
    <row r="576">
      <c r="A576" s="4" t="inlineStr">
        <is>
          <t>TXN100579</t>
        </is>
      </c>
      <c r="B576" s="4" t="inlineStr">
        <is>
          <t>CUST0579</t>
        </is>
      </c>
      <c r="C576" s="4" t="inlineStr">
        <is>
          <t>2026-06-01 15:19:00</t>
        </is>
      </c>
      <c r="D576" s="4">
        <f>TEXT(LEFT(C576,10),"YYYY-MM-DD")</f>
        <v/>
      </c>
      <c r="E576" s="5">
        <f>HOUR(C576)</f>
        <v/>
      </c>
      <c r="F576" s="4" t="inlineStr">
        <is>
          <t>Female</t>
        </is>
      </c>
      <c r="G576" s="5" t="n">
        <v>55</v>
      </c>
      <c r="H576" s="4">
        <f>IF(G576&gt;=60, "Boomer", IF(G576&gt;=45, "Gen X", IF(G576&gt;=25, "Millennial", "Gen Z")))</f>
        <v/>
      </c>
      <c r="I576" s="4" t="inlineStr">
        <is>
          <t>Investment</t>
        </is>
      </c>
      <c r="J576" s="4" t="inlineStr">
        <is>
          <t>Groceries</t>
        </is>
      </c>
      <c r="K576" s="6" t="n">
        <v>3193.23</v>
      </c>
      <c r="L576" s="6" t="n">
        <v>34681.89</v>
      </c>
      <c r="M576" s="4" t="inlineStr">
        <is>
          <t>Mobile App</t>
        </is>
      </c>
      <c r="N576" s="4" t="inlineStr">
        <is>
          <t>N</t>
        </is>
      </c>
      <c r="O576" s="4">
        <f>TEXT(D576, "dddd")</f>
        <v/>
      </c>
      <c r="P576" s="4">
        <f>"Q"&amp;ROUNDUP(MONTH(D576)/3, 0)</f>
        <v/>
      </c>
    </row>
    <row r="577">
      <c r="A577" s="7" t="inlineStr">
        <is>
          <t>TXN100580</t>
        </is>
      </c>
      <c r="B577" s="7" t="inlineStr">
        <is>
          <t>CUST0580</t>
        </is>
      </c>
      <c r="C577" s="7" t="inlineStr">
        <is>
          <t>2026-06-01 06:52:00</t>
        </is>
      </c>
      <c r="D577" s="7">
        <f>TEXT(LEFT(C577,10),"YYYY-MM-DD")</f>
        <v/>
      </c>
      <c r="E577" s="8">
        <f>HOUR(C577)</f>
        <v/>
      </c>
      <c r="F577" s="7" t="inlineStr">
        <is>
          <t>Female</t>
        </is>
      </c>
      <c r="G577" s="8" t="n">
        <v>50</v>
      </c>
      <c r="H577" s="7">
        <f>IF(G577&gt;=60, "Boomer", IF(G577&gt;=45, "Gen X", IF(G577&gt;=25, "Millennial", "Gen Z")))</f>
        <v/>
      </c>
      <c r="I577" s="7" t="inlineStr">
        <is>
          <t>Investment</t>
        </is>
      </c>
      <c r="J577" s="7" t="inlineStr">
        <is>
          <t>Groceries</t>
        </is>
      </c>
      <c r="K577" s="9" t="n">
        <v>3604.34</v>
      </c>
      <c r="L577" s="9" t="n">
        <v>17065.5</v>
      </c>
      <c r="M577" s="7" t="inlineStr">
        <is>
          <t>Branch Office</t>
        </is>
      </c>
      <c r="N577" s="7" t="inlineStr">
        <is>
          <t>N</t>
        </is>
      </c>
      <c r="O577" s="7">
        <f>TEXT(D577, "dddd")</f>
        <v/>
      </c>
      <c r="P577" s="7">
        <f>"Q"&amp;ROUNDUP(MONTH(D577)/3, 0)</f>
        <v/>
      </c>
    </row>
    <row r="578">
      <c r="A578" s="4" t="inlineStr">
        <is>
          <t>TXN100581</t>
        </is>
      </c>
      <c r="B578" s="4" t="inlineStr">
        <is>
          <t>CUST0581</t>
        </is>
      </c>
      <c r="C578" s="4" t="inlineStr">
        <is>
          <t>2026-06-01 11:35:00</t>
        </is>
      </c>
      <c r="D578" s="4">
        <f>TEXT(LEFT(C578,10),"YYYY-MM-DD")</f>
        <v/>
      </c>
      <c r="E578" s="5">
        <f>HOUR(C578)</f>
        <v/>
      </c>
      <c r="F578" s="4" t="inlineStr">
        <is>
          <t>Female</t>
        </is>
      </c>
      <c r="G578" s="5" t="n">
        <v>42</v>
      </c>
      <c r="H578" s="4">
        <f>IF(G578&gt;=60, "Boomer", IF(G578&gt;=45, "Gen X", IF(G578&gt;=25, "Millennial", "Gen Z")))</f>
        <v/>
      </c>
      <c r="I578" s="4" t="inlineStr">
        <is>
          <t>Savings</t>
        </is>
      </c>
      <c r="J578" s="4" t="inlineStr">
        <is>
          <t>Utilities</t>
        </is>
      </c>
      <c r="K578" s="6" t="n">
        <v>978.6900000000001</v>
      </c>
      <c r="L578" s="6" t="n">
        <v>43434.74</v>
      </c>
      <c r="M578" s="4" t="inlineStr">
        <is>
          <t>Online Banking</t>
        </is>
      </c>
      <c r="N578" s="4" t="inlineStr">
        <is>
          <t>N</t>
        </is>
      </c>
      <c r="O578" s="4">
        <f>TEXT(D578, "dddd")</f>
        <v/>
      </c>
      <c r="P578" s="4">
        <f>"Q"&amp;ROUNDUP(MONTH(D578)/3, 0)</f>
        <v/>
      </c>
    </row>
    <row r="579">
      <c r="A579" s="7" t="inlineStr">
        <is>
          <t>TXN100582</t>
        </is>
      </c>
      <c r="B579" s="7" t="inlineStr">
        <is>
          <t>CUST0582</t>
        </is>
      </c>
      <c r="C579" s="7" t="inlineStr">
        <is>
          <t>2026-06-01 18:36:00</t>
        </is>
      </c>
      <c r="D579" s="7">
        <f>TEXT(LEFT(C579,10),"YYYY-MM-DD")</f>
        <v/>
      </c>
      <c r="E579" s="8">
        <f>HOUR(C579)</f>
        <v/>
      </c>
      <c r="F579" s="7" t="inlineStr">
        <is>
          <t>Male</t>
        </is>
      </c>
      <c r="G579" s="8" t="n">
        <v>69</v>
      </c>
      <c r="H579" s="7">
        <f>IF(G579&gt;=60, "Boomer", IF(G579&gt;=45, "Gen X", IF(G579&gt;=25, "Millennial", "Gen Z")))</f>
        <v/>
      </c>
      <c r="I579" s="7" t="inlineStr">
        <is>
          <t>Checking</t>
        </is>
      </c>
      <c r="J579" s="7" t="inlineStr">
        <is>
          <t>Entertainment</t>
        </is>
      </c>
      <c r="K579" s="9" t="n">
        <v>2607.47</v>
      </c>
      <c r="L579" s="9" t="n">
        <v>25767</v>
      </c>
      <c r="M579" s="7" t="inlineStr">
        <is>
          <t>ATM</t>
        </is>
      </c>
      <c r="N579" s="7" t="inlineStr">
        <is>
          <t>N</t>
        </is>
      </c>
      <c r="O579" s="7">
        <f>TEXT(D579, "dddd")</f>
        <v/>
      </c>
      <c r="P579" s="7">
        <f>"Q"&amp;ROUNDUP(MONTH(D579)/3, 0)</f>
        <v/>
      </c>
    </row>
    <row r="580">
      <c r="A580" s="4" t="inlineStr">
        <is>
          <t>TXN100583</t>
        </is>
      </c>
      <c r="B580" s="4" t="inlineStr">
        <is>
          <t>CUST0583</t>
        </is>
      </c>
      <c r="C580" s="4" t="inlineStr">
        <is>
          <t>2026-06-01 02:24:00</t>
        </is>
      </c>
      <c r="D580" s="4">
        <f>TEXT(LEFT(C580,10),"YYYY-MM-DD")</f>
        <v/>
      </c>
      <c r="E580" s="5">
        <f>HOUR(C580)</f>
        <v/>
      </c>
      <c r="F580" s="4" t="inlineStr">
        <is>
          <t>Female</t>
        </is>
      </c>
      <c r="G580" s="5" t="n">
        <v>49</v>
      </c>
      <c r="H580" s="4">
        <f>IF(G580&gt;=60, "Boomer", IF(G580&gt;=45, "Gen X", IF(G580&gt;=25, "Millennial", "Gen Z")))</f>
        <v/>
      </c>
      <c r="I580" s="4" t="inlineStr">
        <is>
          <t>Investment</t>
        </is>
      </c>
      <c r="J580" s="4" t="inlineStr">
        <is>
          <t>Groceries</t>
        </is>
      </c>
      <c r="K580" s="6" t="n">
        <v>6947.38</v>
      </c>
      <c r="L580" s="6" t="n">
        <v>32208.74</v>
      </c>
      <c r="M580" s="4" t="inlineStr">
        <is>
          <t>Branch Office</t>
        </is>
      </c>
      <c r="N580" s="4" t="inlineStr">
        <is>
          <t>N</t>
        </is>
      </c>
      <c r="O580" s="4">
        <f>TEXT(D580, "dddd")</f>
        <v/>
      </c>
      <c r="P580" s="4">
        <f>"Q"&amp;ROUNDUP(MONTH(D580)/3, 0)</f>
        <v/>
      </c>
    </row>
    <row r="581">
      <c r="A581" s="7" t="inlineStr">
        <is>
          <t>TXN100584</t>
        </is>
      </c>
      <c r="B581" s="7" t="inlineStr">
        <is>
          <t>CUST0584</t>
        </is>
      </c>
      <c r="C581" s="7" t="inlineStr">
        <is>
          <t>2026-06-01 13:40:00</t>
        </is>
      </c>
      <c r="D581" s="7">
        <f>TEXT(LEFT(C581,10),"YYYY-MM-DD")</f>
        <v/>
      </c>
      <c r="E581" s="8">
        <f>HOUR(C581)</f>
        <v/>
      </c>
      <c r="F581" s="7" t="inlineStr">
        <is>
          <t>Unspecified</t>
        </is>
      </c>
      <c r="G581" s="8" t="n">
        <v>74</v>
      </c>
      <c r="H581" s="7">
        <f>IF(G581&gt;=60, "Boomer", IF(G581&gt;=45, "Gen X", IF(G581&gt;=25, "Millennial", "Gen Z")))</f>
        <v/>
      </c>
      <c r="I581" s="7" t="inlineStr">
        <is>
          <t>Savings</t>
        </is>
      </c>
      <c r="J581" s="7" t="inlineStr">
        <is>
          <t>Groceries</t>
        </is>
      </c>
      <c r="K581" s="9" t="n">
        <v>1304.38</v>
      </c>
      <c r="L581" s="9" t="n">
        <v>11796.79</v>
      </c>
      <c r="M581" s="7" t="inlineStr">
        <is>
          <t>Branch Office</t>
        </is>
      </c>
      <c r="N581" s="7" t="inlineStr">
        <is>
          <t>N</t>
        </is>
      </c>
      <c r="O581" s="7">
        <f>TEXT(D581, "dddd")</f>
        <v/>
      </c>
      <c r="P581" s="7">
        <f>"Q"&amp;ROUNDUP(MONTH(D581)/3, 0)</f>
        <v/>
      </c>
    </row>
    <row r="582">
      <c r="A582" s="4" t="inlineStr">
        <is>
          <t>TXN100585</t>
        </is>
      </c>
      <c r="B582" s="4" t="inlineStr">
        <is>
          <t>CUST0585</t>
        </is>
      </c>
      <c r="C582" s="4" t="inlineStr">
        <is>
          <t>2026-06-01 20:18:00</t>
        </is>
      </c>
      <c r="D582" s="4">
        <f>TEXT(LEFT(C582,10),"YYYY-MM-DD")</f>
        <v/>
      </c>
      <c r="E582" s="5">
        <f>HOUR(C582)</f>
        <v/>
      </c>
      <c r="F582" s="4" t="inlineStr">
        <is>
          <t>Female</t>
        </is>
      </c>
      <c r="G582" s="5" t="n">
        <v>58</v>
      </c>
      <c r="H582" s="4">
        <f>IF(G582&gt;=60, "Boomer", IF(G582&gt;=45, "Gen X", IF(G582&gt;=25, "Millennial", "Gen Z")))</f>
        <v/>
      </c>
      <c r="I582" s="4" t="inlineStr">
        <is>
          <t>Investment</t>
        </is>
      </c>
      <c r="J582" s="4" t="inlineStr">
        <is>
          <t>Utilities</t>
        </is>
      </c>
      <c r="K582" s="6" t="n">
        <v>2177.27</v>
      </c>
      <c r="L582" s="6" t="n">
        <v>22522.47</v>
      </c>
      <c r="M582" s="4" t="inlineStr">
        <is>
          <t>Branch Office</t>
        </is>
      </c>
      <c r="N582" s="4" t="inlineStr">
        <is>
          <t>N</t>
        </is>
      </c>
      <c r="O582" s="4">
        <f>TEXT(D582, "dddd")</f>
        <v/>
      </c>
      <c r="P582" s="4">
        <f>"Q"&amp;ROUNDUP(MONTH(D582)/3, 0)</f>
        <v/>
      </c>
    </row>
    <row r="583">
      <c r="A583" s="7" t="inlineStr">
        <is>
          <t>TXN100586</t>
        </is>
      </c>
      <c r="B583" s="7" t="inlineStr">
        <is>
          <t>CUST0586</t>
        </is>
      </c>
      <c r="C583" s="7" t="inlineStr">
        <is>
          <t>2026-06-01 23:37:00</t>
        </is>
      </c>
      <c r="D583" s="7">
        <f>TEXT(LEFT(C583,10),"YYYY-MM-DD")</f>
        <v/>
      </c>
      <c r="E583" s="8">
        <f>HOUR(C583)</f>
        <v/>
      </c>
      <c r="F583" s="7" t="inlineStr">
        <is>
          <t>Unspecified</t>
        </is>
      </c>
      <c r="G583" s="8" t="n">
        <v>46</v>
      </c>
      <c r="H583" s="7">
        <f>IF(G583&gt;=60, "Boomer", IF(G583&gt;=45, "Gen X", IF(G583&gt;=25, "Millennial", "Gen Z")))</f>
        <v/>
      </c>
      <c r="I583" s="7" t="inlineStr">
        <is>
          <t>Savings</t>
        </is>
      </c>
      <c r="J583" s="7" t="inlineStr">
        <is>
          <t>Groceries</t>
        </is>
      </c>
      <c r="K583" s="9" t="n">
        <v>6835.15</v>
      </c>
      <c r="L583" s="9" t="n">
        <v>6689.48</v>
      </c>
      <c r="M583" s="7" t="inlineStr">
        <is>
          <t>Online Banking</t>
        </is>
      </c>
      <c r="N583" s="7" t="inlineStr">
        <is>
          <t>N</t>
        </is>
      </c>
      <c r="O583" s="7">
        <f>TEXT(D583, "dddd")</f>
        <v/>
      </c>
      <c r="P583" s="7">
        <f>"Q"&amp;ROUNDUP(MONTH(D583)/3, 0)</f>
        <v/>
      </c>
    </row>
    <row r="584">
      <c r="A584" s="4" t="inlineStr">
        <is>
          <t>TXN100587</t>
        </is>
      </c>
      <c r="B584" s="4" t="inlineStr">
        <is>
          <t>CUST0587</t>
        </is>
      </c>
      <c r="C584" s="4" t="inlineStr">
        <is>
          <t>2026-06-01 21:16:00</t>
        </is>
      </c>
      <c r="D584" s="4">
        <f>TEXT(LEFT(C584,10),"YYYY-MM-DD")</f>
        <v/>
      </c>
      <c r="E584" s="5">
        <f>HOUR(C584)</f>
        <v/>
      </c>
      <c r="F584" s="4" t="inlineStr">
        <is>
          <t>Male</t>
        </is>
      </c>
      <c r="G584" s="5" t="n">
        <v>33</v>
      </c>
      <c r="H584" s="4">
        <f>IF(G584&gt;=60, "Boomer", IF(G584&gt;=45, "Gen X", IF(G584&gt;=25, "Millennial", "Gen Z")))</f>
        <v/>
      </c>
      <c r="I584" s="4" t="inlineStr">
        <is>
          <t>Savings</t>
        </is>
      </c>
      <c r="J584" s="4" t="inlineStr">
        <is>
          <t>Utilities</t>
        </is>
      </c>
      <c r="K584" s="6" t="n">
        <v>833.04</v>
      </c>
      <c r="L584" s="6" t="n">
        <v>3657.72</v>
      </c>
      <c r="M584" s="4" t="inlineStr">
        <is>
          <t>ATM</t>
        </is>
      </c>
      <c r="N584" s="4" t="inlineStr">
        <is>
          <t>N</t>
        </is>
      </c>
      <c r="O584" s="4">
        <f>TEXT(D584, "dddd")</f>
        <v/>
      </c>
      <c r="P584" s="4">
        <f>"Q"&amp;ROUNDUP(MONTH(D584)/3, 0)</f>
        <v/>
      </c>
    </row>
    <row r="585">
      <c r="A585" s="7" t="inlineStr">
        <is>
          <t>TXN100588</t>
        </is>
      </c>
      <c r="B585" s="7" t="inlineStr">
        <is>
          <t>CUST0588</t>
        </is>
      </c>
      <c r="C585" s="7" t="inlineStr">
        <is>
          <t>2026-06-01 17:03:00</t>
        </is>
      </c>
      <c r="D585" s="7">
        <f>TEXT(LEFT(C585,10),"YYYY-MM-DD")</f>
        <v/>
      </c>
      <c r="E585" s="8">
        <f>HOUR(C585)</f>
        <v/>
      </c>
      <c r="F585" s="7" t="inlineStr">
        <is>
          <t>Male</t>
        </is>
      </c>
      <c r="G585" s="8" t="n">
        <v>69</v>
      </c>
      <c r="H585" s="7">
        <f>IF(G585&gt;=60, "Boomer", IF(G585&gt;=45, "Gen X", IF(G585&gt;=25, "Millennial", "Gen Z")))</f>
        <v/>
      </c>
      <c r="I585" s="7" t="inlineStr">
        <is>
          <t>Checking</t>
        </is>
      </c>
      <c r="J585" s="7" t="inlineStr">
        <is>
          <t>Travel</t>
        </is>
      </c>
      <c r="K585" s="9" t="n">
        <v>6122.32</v>
      </c>
      <c r="L585" s="9" t="n">
        <v>4620.93</v>
      </c>
      <c r="M585" s="7" t="inlineStr">
        <is>
          <t>Branch Office</t>
        </is>
      </c>
      <c r="N585" s="7" t="inlineStr">
        <is>
          <t>N</t>
        </is>
      </c>
      <c r="O585" s="7">
        <f>TEXT(D585, "dddd")</f>
        <v/>
      </c>
      <c r="P585" s="7">
        <f>"Q"&amp;ROUNDUP(MONTH(D585)/3, 0)</f>
        <v/>
      </c>
    </row>
    <row r="586">
      <c r="A586" s="4" t="inlineStr">
        <is>
          <t>TXN100589</t>
        </is>
      </c>
      <c r="B586" s="4" t="inlineStr">
        <is>
          <t>CUST0589</t>
        </is>
      </c>
      <c r="C586" s="4" t="inlineStr">
        <is>
          <t>2026-06-01 19:09:00</t>
        </is>
      </c>
      <c r="D586" s="4">
        <f>TEXT(LEFT(C586,10),"YYYY-MM-DD")</f>
        <v/>
      </c>
      <c r="E586" s="5">
        <f>HOUR(C586)</f>
        <v/>
      </c>
      <c r="F586" s="4" t="inlineStr">
        <is>
          <t>Male</t>
        </is>
      </c>
      <c r="G586" s="5" t="n">
        <v>61</v>
      </c>
      <c r="H586" s="4">
        <f>IF(G586&gt;=60, "Boomer", IF(G586&gt;=45, "Gen X", IF(G586&gt;=25, "Millennial", "Gen Z")))</f>
        <v/>
      </c>
      <c r="I586" s="4" t="inlineStr">
        <is>
          <t>Checking</t>
        </is>
      </c>
      <c r="J586" s="4" t="inlineStr">
        <is>
          <t>Entertainment</t>
        </is>
      </c>
      <c r="K586" s="6" t="n">
        <v>1842.55</v>
      </c>
      <c r="L586" s="6" t="n">
        <v>37010.86</v>
      </c>
      <c r="M586" s="4" t="inlineStr">
        <is>
          <t>ATM</t>
        </is>
      </c>
      <c r="N586" s="4" t="inlineStr">
        <is>
          <t>N</t>
        </is>
      </c>
      <c r="O586" s="4">
        <f>TEXT(D586, "dddd")</f>
        <v/>
      </c>
      <c r="P586" s="4">
        <f>"Q"&amp;ROUNDUP(MONTH(D586)/3, 0)</f>
        <v/>
      </c>
    </row>
    <row r="587">
      <c r="A587" s="7" t="inlineStr">
        <is>
          <t>TXN100590</t>
        </is>
      </c>
      <c r="B587" s="7" t="inlineStr">
        <is>
          <t>CUST0590</t>
        </is>
      </c>
      <c r="C587" s="7" t="inlineStr">
        <is>
          <t>2026-06-01 20:08:00</t>
        </is>
      </c>
      <c r="D587" s="7">
        <f>TEXT(LEFT(C587,10),"YYYY-MM-DD")</f>
        <v/>
      </c>
      <c r="E587" s="8">
        <f>HOUR(C587)</f>
        <v/>
      </c>
      <c r="F587" s="7" t="inlineStr">
        <is>
          <t>Male</t>
        </is>
      </c>
      <c r="G587" s="8" t="n">
        <v>53</v>
      </c>
      <c r="H587" s="7">
        <f>IF(G587&gt;=60, "Boomer", IF(G587&gt;=45, "Gen X", IF(G587&gt;=25, "Millennial", "Gen Z")))</f>
        <v/>
      </c>
      <c r="I587" s="7" t="inlineStr">
        <is>
          <t>Savings</t>
        </is>
      </c>
      <c r="J587" s="7" t="inlineStr">
        <is>
          <t>Groceries</t>
        </is>
      </c>
      <c r="K587" s="9" t="n">
        <v>290.89</v>
      </c>
      <c r="L587" s="9" t="n">
        <v>18163.64</v>
      </c>
      <c r="M587" s="7" t="inlineStr">
        <is>
          <t>Branch Office</t>
        </is>
      </c>
      <c r="N587" s="7" t="inlineStr">
        <is>
          <t>N</t>
        </is>
      </c>
      <c r="O587" s="7">
        <f>TEXT(D587, "dddd")</f>
        <v/>
      </c>
      <c r="P587" s="7">
        <f>"Q"&amp;ROUNDUP(MONTH(D587)/3, 0)</f>
        <v/>
      </c>
    </row>
    <row r="588">
      <c r="A588" s="4" t="inlineStr">
        <is>
          <t>TXN100591</t>
        </is>
      </c>
      <c r="B588" s="4" t="inlineStr">
        <is>
          <t>CUST0591</t>
        </is>
      </c>
      <c r="C588" s="4" t="inlineStr">
        <is>
          <t>2026-06-01 15:29:00</t>
        </is>
      </c>
      <c r="D588" s="4">
        <f>TEXT(LEFT(C588,10),"YYYY-MM-DD")</f>
        <v/>
      </c>
      <c r="E588" s="5">
        <f>HOUR(C588)</f>
        <v/>
      </c>
      <c r="F588" s="4" t="inlineStr">
        <is>
          <t>Female</t>
        </is>
      </c>
      <c r="G588" s="5" t="n">
        <v>55</v>
      </c>
      <c r="H588" s="4">
        <f>IF(G588&gt;=60, "Boomer", IF(G588&gt;=45, "Gen X", IF(G588&gt;=25, "Millennial", "Gen Z")))</f>
        <v/>
      </c>
      <c r="I588" s="4" t="inlineStr">
        <is>
          <t>Checking</t>
        </is>
      </c>
      <c r="J588" s="4" t="inlineStr">
        <is>
          <t>Groceries</t>
        </is>
      </c>
      <c r="K588" s="6" t="n">
        <v>7756.64</v>
      </c>
      <c r="L588" s="6" t="n">
        <v>35032.33</v>
      </c>
      <c r="M588" s="4" t="inlineStr">
        <is>
          <t>Online Banking</t>
        </is>
      </c>
      <c r="N588" s="4" t="inlineStr">
        <is>
          <t>Y</t>
        </is>
      </c>
      <c r="O588" s="4">
        <f>TEXT(D588, "dddd")</f>
        <v/>
      </c>
      <c r="P588" s="4">
        <f>"Q"&amp;ROUNDUP(MONTH(D588)/3, 0)</f>
        <v/>
      </c>
    </row>
    <row r="589">
      <c r="A589" s="7" t="inlineStr">
        <is>
          <t>TXN100592</t>
        </is>
      </c>
      <c r="B589" s="7" t="inlineStr">
        <is>
          <t>CUST0592</t>
        </is>
      </c>
      <c r="C589" s="7" t="inlineStr">
        <is>
          <t>2026-06-01 14:40:00</t>
        </is>
      </c>
      <c r="D589" s="7">
        <f>TEXT(LEFT(C589,10),"YYYY-MM-DD")</f>
        <v/>
      </c>
      <c r="E589" s="8">
        <f>HOUR(C589)</f>
        <v/>
      </c>
      <c r="F589" s="7" t="inlineStr">
        <is>
          <t>Unspecified</t>
        </is>
      </c>
      <c r="G589" s="8" t="n">
        <v>53</v>
      </c>
      <c r="H589" s="7">
        <f>IF(G589&gt;=60, "Boomer", IF(G589&gt;=45, "Gen X", IF(G589&gt;=25, "Millennial", "Gen Z")))</f>
        <v/>
      </c>
      <c r="I589" s="7" t="inlineStr">
        <is>
          <t>Investment</t>
        </is>
      </c>
      <c r="J589" s="7" t="inlineStr">
        <is>
          <t>Travel</t>
        </is>
      </c>
      <c r="K589" s="9" t="n">
        <v>2484.19</v>
      </c>
      <c r="L589" s="9" t="n">
        <v>17684.83</v>
      </c>
      <c r="M589" s="7" t="inlineStr">
        <is>
          <t>Online Banking</t>
        </is>
      </c>
      <c r="N589" s="7" t="inlineStr">
        <is>
          <t>N</t>
        </is>
      </c>
      <c r="O589" s="7">
        <f>TEXT(D589, "dddd")</f>
        <v/>
      </c>
      <c r="P589" s="7">
        <f>"Q"&amp;ROUNDUP(MONTH(D589)/3, 0)</f>
        <v/>
      </c>
    </row>
    <row r="590">
      <c r="A590" s="4" t="inlineStr">
        <is>
          <t>TXN100593</t>
        </is>
      </c>
      <c r="B590" s="4" t="inlineStr">
        <is>
          <t>CUST0593</t>
        </is>
      </c>
      <c r="C590" s="4" t="inlineStr">
        <is>
          <t>2026-06-01 02:28:00</t>
        </is>
      </c>
      <c r="D590" s="4">
        <f>TEXT(LEFT(C590,10),"YYYY-MM-DD")</f>
        <v/>
      </c>
      <c r="E590" s="5">
        <f>HOUR(C590)</f>
        <v/>
      </c>
      <c r="F590" s="4" t="inlineStr">
        <is>
          <t>Female</t>
        </is>
      </c>
      <c r="G590" s="5" t="n">
        <v>43</v>
      </c>
      <c r="H590" s="4">
        <f>IF(G590&gt;=60, "Boomer", IF(G590&gt;=45, "Gen X", IF(G590&gt;=25, "Millennial", "Gen Z")))</f>
        <v/>
      </c>
      <c r="I590" s="4" t="inlineStr">
        <is>
          <t>Checking</t>
        </is>
      </c>
      <c r="J590" s="4" t="inlineStr">
        <is>
          <t>Entertainment</t>
        </is>
      </c>
      <c r="K590" s="6" t="n">
        <v>1254.18</v>
      </c>
      <c r="L590" s="6" t="n">
        <v>1022.51</v>
      </c>
      <c r="M590" s="4" t="inlineStr">
        <is>
          <t>Online Banking</t>
        </is>
      </c>
      <c r="N590" s="4" t="inlineStr">
        <is>
          <t>N</t>
        </is>
      </c>
      <c r="O590" s="4">
        <f>TEXT(D590, "dddd")</f>
        <v/>
      </c>
      <c r="P590" s="4">
        <f>"Q"&amp;ROUNDUP(MONTH(D590)/3, 0)</f>
        <v/>
      </c>
    </row>
    <row r="591">
      <c r="A591" s="7" t="inlineStr">
        <is>
          <t>TXN100594</t>
        </is>
      </c>
      <c r="B591" s="7" t="inlineStr">
        <is>
          <t>CUST0594</t>
        </is>
      </c>
      <c r="C591" s="7" t="inlineStr">
        <is>
          <t>2026-06-01 11:18:00</t>
        </is>
      </c>
      <c r="D591" s="7">
        <f>TEXT(LEFT(C591,10),"YYYY-MM-DD")</f>
        <v/>
      </c>
      <c r="E591" s="8">
        <f>HOUR(C591)</f>
        <v/>
      </c>
      <c r="F591" s="7" t="inlineStr">
        <is>
          <t>Unspecified</t>
        </is>
      </c>
      <c r="G591" s="8" t="n">
        <v>54</v>
      </c>
      <c r="H591" s="7">
        <f>IF(G591&gt;=60, "Boomer", IF(G591&gt;=45, "Gen X", IF(G591&gt;=25, "Millennial", "Gen Z")))</f>
        <v/>
      </c>
      <c r="I591" s="7" t="inlineStr">
        <is>
          <t>Savings</t>
        </is>
      </c>
      <c r="J591" s="7" t="inlineStr">
        <is>
          <t>Utilities</t>
        </is>
      </c>
      <c r="K591" s="9" t="n">
        <v>7576.19</v>
      </c>
      <c r="L591" s="9" t="n">
        <v>24114.82</v>
      </c>
      <c r="M591" s="7" t="inlineStr">
        <is>
          <t>Mobile App</t>
        </is>
      </c>
      <c r="N591" s="7" t="inlineStr">
        <is>
          <t>Y</t>
        </is>
      </c>
      <c r="O591" s="7">
        <f>TEXT(D591, "dddd")</f>
        <v/>
      </c>
      <c r="P591" s="7">
        <f>"Q"&amp;ROUNDUP(MONTH(D591)/3, 0)</f>
        <v/>
      </c>
    </row>
    <row r="592">
      <c r="A592" s="4" t="inlineStr">
        <is>
          <t>TXN100595</t>
        </is>
      </c>
      <c r="B592" s="4" t="inlineStr">
        <is>
          <t>CUST0595</t>
        </is>
      </c>
      <c r="C592" s="4" t="inlineStr">
        <is>
          <t>2026-06-01 09:38:00</t>
        </is>
      </c>
      <c r="D592" s="4">
        <f>TEXT(LEFT(C592,10),"YYYY-MM-DD")</f>
        <v/>
      </c>
      <c r="E592" s="5">
        <f>HOUR(C592)</f>
        <v/>
      </c>
      <c r="F592" s="4" t="inlineStr">
        <is>
          <t>Female</t>
        </is>
      </c>
      <c r="G592" s="5" t="n">
        <v>70</v>
      </c>
      <c r="H592" s="4">
        <f>IF(G592&gt;=60, "Boomer", IF(G592&gt;=45, "Gen X", IF(G592&gt;=25, "Millennial", "Gen Z")))</f>
        <v/>
      </c>
      <c r="I592" s="4" t="inlineStr">
        <is>
          <t>Savings</t>
        </is>
      </c>
      <c r="J592" s="4" t="inlineStr">
        <is>
          <t>Travel</t>
        </is>
      </c>
      <c r="K592" s="6" t="n">
        <v>2995.41</v>
      </c>
      <c r="L592" s="6" t="n">
        <v>20880.93</v>
      </c>
      <c r="M592" s="4" t="inlineStr">
        <is>
          <t>ATM</t>
        </is>
      </c>
      <c r="N592" s="4" t="inlineStr">
        <is>
          <t>N</t>
        </is>
      </c>
      <c r="O592" s="4">
        <f>TEXT(D592, "dddd")</f>
        <v/>
      </c>
      <c r="P592" s="4">
        <f>"Q"&amp;ROUNDUP(MONTH(D592)/3, 0)</f>
        <v/>
      </c>
    </row>
    <row r="593">
      <c r="A593" s="7" t="inlineStr">
        <is>
          <t>TXN100596</t>
        </is>
      </c>
      <c r="B593" s="7" t="inlineStr">
        <is>
          <t>CUST0596</t>
        </is>
      </c>
      <c r="C593" s="7" t="inlineStr">
        <is>
          <t>2026-06-01 12:15:00</t>
        </is>
      </c>
      <c r="D593" s="7">
        <f>TEXT(LEFT(C593,10),"YYYY-MM-DD")</f>
        <v/>
      </c>
      <c r="E593" s="8">
        <f>HOUR(C593)</f>
        <v/>
      </c>
      <c r="F593" s="7" t="inlineStr">
        <is>
          <t>Male</t>
        </is>
      </c>
      <c r="G593" s="8" t="n">
        <v>65</v>
      </c>
      <c r="H593" s="7">
        <f>IF(G593&gt;=60, "Boomer", IF(G593&gt;=45, "Gen X", IF(G593&gt;=25, "Millennial", "Gen Z")))</f>
        <v/>
      </c>
      <c r="I593" s="7" t="inlineStr">
        <is>
          <t>Investment</t>
        </is>
      </c>
      <c r="J593" s="7" t="inlineStr">
        <is>
          <t>Utilities</t>
        </is>
      </c>
      <c r="K593" s="9" t="n">
        <v>6629.13</v>
      </c>
      <c r="L593" s="9" t="n">
        <v>11419.33</v>
      </c>
      <c r="M593" s="7" t="inlineStr">
        <is>
          <t>Mobile App</t>
        </is>
      </c>
      <c r="N593" s="7" t="inlineStr">
        <is>
          <t>N</t>
        </is>
      </c>
      <c r="O593" s="7">
        <f>TEXT(D593, "dddd")</f>
        <v/>
      </c>
      <c r="P593" s="7">
        <f>"Q"&amp;ROUNDUP(MONTH(D593)/3, 0)</f>
        <v/>
      </c>
    </row>
    <row r="594">
      <c r="A594" s="4" t="inlineStr">
        <is>
          <t>TXN100597</t>
        </is>
      </c>
      <c r="B594" s="4" t="inlineStr">
        <is>
          <t>CUST0597</t>
        </is>
      </c>
      <c r="C594" s="4" t="inlineStr">
        <is>
          <t>2026-06-01 13:40:00</t>
        </is>
      </c>
      <c r="D594" s="4">
        <f>TEXT(LEFT(C594,10),"YYYY-MM-DD")</f>
        <v/>
      </c>
      <c r="E594" s="5">
        <f>HOUR(C594)</f>
        <v/>
      </c>
      <c r="F594" s="4" t="inlineStr">
        <is>
          <t>Female</t>
        </is>
      </c>
      <c r="G594" s="5" t="n">
        <v>53</v>
      </c>
      <c r="H594" s="4">
        <f>IF(G594&gt;=60, "Boomer", IF(G594&gt;=45, "Gen X", IF(G594&gt;=25, "Millennial", "Gen Z")))</f>
        <v/>
      </c>
      <c r="I594" s="4" t="inlineStr">
        <is>
          <t>Investment</t>
        </is>
      </c>
      <c r="J594" s="4" t="inlineStr">
        <is>
          <t>Entertainment</t>
        </is>
      </c>
      <c r="K594" s="6" t="n">
        <v>2284.57</v>
      </c>
      <c r="L594" s="6" t="n">
        <v>37274.88</v>
      </c>
      <c r="M594" s="4" t="inlineStr">
        <is>
          <t>Branch Office</t>
        </is>
      </c>
      <c r="N594" s="4" t="inlineStr">
        <is>
          <t>N</t>
        </is>
      </c>
      <c r="O594" s="4">
        <f>TEXT(D594, "dddd")</f>
        <v/>
      </c>
      <c r="P594" s="4">
        <f>"Q"&amp;ROUNDUP(MONTH(D594)/3, 0)</f>
        <v/>
      </c>
    </row>
    <row r="595">
      <c r="A595" s="7" t="inlineStr">
        <is>
          <t>TXN100598</t>
        </is>
      </c>
      <c r="B595" s="7" t="inlineStr">
        <is>
          <t>CUST0598</t>
        </is>
      </c>
      <c r="C595" s="7" t="inlineStr">
        <is>
          <t>2026-06-01 13:12:00</t>
        </is>
      </c>
      <c r="D595" s="7">
        <f>TEXT(LEFT(C595,10),"YYYY-MM-DD")</f>
        <v/>
      </c>
      <c r="E595" s="8">
        <f>HOUR(C595)</f>
        <v/>
      </c>
      <c r="F595" s="7" t="inlineStr">
        <is>
          <t>Male</t>
        </is>
      </c>
      <c r="G595" s="8" t="n">
        <v>31</v>
      </c>
      <c r="H595" s="7">
        <f>IF(G595&gt;=60, "Boomer", IF(G595&gt;=45, "Gen X", IF(G595&gt;=25, "Millennial", "Gen Z")))</f>
        <v/>
      </c>
      <c r="I595" s="7" t="inlineStr">
        <is>
          <t>Savings</t>
        </is>
      </c>
      <c r="J595" s="7" t="inlineStr">
        <is>
          <t>Entertainment</t>
        </is>
      </c>
      <c r="K595" s="9" t="n">
        <v>891.75</v>
      </c>
      <c r="L595" s="9" t="n">
        <v>23039.48</v>
      </c>
      <c r="M595" s="7" t="inlineStr">
        <is>
          <t>ATM</t>
        </is>
      </c>
      <c r="N595" s="7" t="inlineStr">
        <is>
          <t>N</t>
        </is>
      </c>
      <c r="O595" s="7">
        <f>TEXT(D595, "dddd")</f>
        <v/>
      </c>
      <c r="P595" s="7">
        <f>"Q"&amp;ROUNDUP(MONTH(D595)/3, 0)</f>
        <v/>
      </c>
    </row>
    <row r="596">
      <c r="A596" s="4" t="inlineStr">
        <is>
          <t>TXN100599</t>
        </is>
      </c>
      <c r="B596" s="4" t="inlineStr">
        <is>
          <t>CUST0599</t>
        </is>
      </c>
      <c r="C596" s="4" t="inlineStr">
        <is>
          <t>2026-06-01 08:44:00</t>
        </is>
      </c>
      <c r="D596" s="4">
        <f>TEXT(LEFT(C596,10),"YYYY-MM-DD")</f>
        <v/>
      </c>
      <c r="E596" s="5">
        <f>HOUR(C596)</f>
        <v/>
      </c>
      <c r="F596" s="4" t="inlineStr">
        <is>
          <t>Unspecified</t>
        </is>
      </c>
      <c r="G596" s="5" t="n">
        <v>32</v>
      </c>
      <c r="H596" s="4">
        <f>IF(G596&gt;=60, "Boomer", IF(G596&gt;=45, "Gen X", IF(G596&gt;=25, "Millennial", "Gen Z")))</f>
        <v/>
      </c>
      <c r="I596" s="4" t="inlineStr">
        <is>
          <t>Checking</t>
        </is>
      </c>
      <c r="J596" s="4" t="inlineStr">
        <is>
          <t>Groceries</t>
        </is>
      </c>
      <c r="K596" s="6" t="n">
        <v>1225.67</v>
      </c>
      <c r="L596" s="6" t="n">
        <v>48500.95</v>
      </c>
      <c r="M596" s="4" t="inlineStr">
        <is>
          <t>Mobile App</t>
        </is>
      </c>
      <c r="N596" s="4" t="inlineStr">
        <is>
          <t>N</t>
        </is>
      </c>
      <c r="O596" s="4">
        <f>TEXT(D596, "dddd")</f>
        <v/>
      </c>
      <c r="P596" s="4">
        <f>"Q"&amp;ROUNDUP(MONTH(D596)/3, 0)</f>
        <v/>
      </c>
    </row>
    <row r="597">
      <c r="A597" s="7" t="inlineStr">
        <is>
          <t>TXN100600</t>
        </is>
      </c>
      <c r="B597" s="7" t="inlineStr">
        <is>
          <t>CUST0600</t>
        </is>
      </c>
      <c r="C597" s="7" t="inlineStr">
        <is>
          <t>2026-06-01 05:06:00</t>
        </is>
      </c>
      <c r="D597" s="7">
        <f>TEXT(LEFT(C597,10),"YYYY-MM-DD")</f>
        <v/>
      </c>
      <c r="E597" s="8">
        <f>HOUR(C597)</f>
        <v/>
      </c>
      <c r="F597" s="7" t="inlineStr">
        <is>
          <t>Female</t>
        </is>
      </c>
      <c r="G597" s="8" t="n">
        <v>37</v>
      </c>
      <c r="H597" s="7">
        <f>IF(G597&gt;=60, "Boomer", IF(G597&gt;=45, "Gen X", IF(G597&gt;=25, "Millennial", "Gen Z")))</f>
        <v/>
      </c>
      <c r="I597" s="7" t="inlineStr">
        <is>
          <t>Savings</t>
        </is>
      </c>
      <c r="J597" s="7" t="inlineStr">
        <is>
          <t>Utilities</t>
        </is>
      </c>
      <c r="K597" s="9" t="n">
        <v>5819.59</v>
      </c>
      <c r="L597" s="9" t="n">
        <v>12024.12</v>
      </c>
      <c r="M597" s="7" t="inlineStr">
        <is>
          <t>Online Banking</t>
        </is>
      </c>
      <c r="N597" s="7" t="inlineStr">
        <is>
          <t>N</t>
        </is>
      </c>
      <c r="O597" s="7">
        <f>TEXT(D597, "dddd")</f>
        <v/>
      </c>
      <c r="P597" s="7">
        <f>"Q"&amp;ROUNDUP(MONTH(D597)/3, 0)</f>
        <v/>
      </c>
    </row>
    <row r="598">
      <c r="A598" s="4" t="inlineStr">
        <is>
          <t>TXN100601</t>
        </is>
      </c>
      <c r="B598" s="4" t="inlineStr">
        <is>
          <t>CUST0601</t>
        </is>
      </c>
      <c r="C598" s="4" t="inlineStr">
        <is>
          <t>2026-06-01 00:31:00</t>
        </is>
      </c>
      <c r="D598" s="4">
        <f>TEXT(LEFT(C598,10),"YYYY-MM-DD")</f>
        <v/>
      </c>
      <c r="E598" s="5">
        <f>HOUR(C598)</f>
        <v/>
      </c>
      <c r="F598" s="4" t="inlineStr">
        <is>
          <t>Female</t>
        </is>
      </c>
      <c r="G598" s="5" t="n">
        <v>41</v>
      </c>
      <c r="H598" s="4">
        <f>IF(G598&gt;=60, "Boomer", IF(G598&gt;=45, "Gen X", IF(G598&gt;=25, "Millennial", "Gen Z")))</f>
        <v/>
      </c>
      <c r="I598" s="4" t="inlineStr">
        <is>
          <t>Checking</t>
        </is>
      </c>
      <c r="J598" s="4" t="inlineStr">
        <is>
          <t>Entertainment</t>
        </is>
      </c>
      <c r="K598" s="6" t="n">
        <v>6287.95</v>
      </c>
      <c r="L598" s="6" t="n">
        <v>25170.59</v>
      </c>
      <c r="M598" s="4" t="inlineStr">
        <is>
          <t>Branch Office</t>
        </is>
      </c>
      <c r="N598" s="4" t="inlineStr">
        <is>
          <t>N</t>
        </is>
      </c>
      <c r="O598" s="4">
        <f>TEXT(D598, "dddd")</f>
        <v/>
      </c>
      <c r="P598" s="4">
        <f>"Q"&amp;ROUNDUP(MONTH(D598)/3, 0)</f>
        <v/>
      </c>
    </row>
    <row r="599">
      <c r="A599" s="7" t="inlineStr">
        <is>
          <t>TXN100602</t>
        </is>
      </c>
      <c r="B599" s="7" t="inlineStr">
        <is>
          <t>CUST0602</t>
        </is>
      </c>
      <c r="C599" s="7" t="inlineStr">
        <is>
          <t>2026-06-01 14:44:00</t>
        </is>
      </c>
      <c r="D599" s="7">
        <f>TEXT(LEFT(C599,10),"YYYY-MM-DD")</f>
        <v/>
      </c>
      <c r="E599" s="8">
        <f>HOUR(C599)</f>
        <v/>
      </c>
      <c r="F599" s="7" t="inlineStr">
        <is>
          <t>Male</t>
        </is>
      </c>
      <c r="G599" s="8" t="n">
        <v>41</v>
      </c>
      <c r="H599" s="7">
        <f>IF(G599&gt;=60, "Boomer", IF(G599&gt;=45, "Gen X", IF(G599&gt;=25, "Millennial", "Gen Z")))</f>
        <v/>
      </c>
      <c r="I599" s="7" t="inlineStr">
        <is>
          <t>Savings</t>
        </is>
      </c>
      <c r="J599" s="7" t="inlineStr">
        <is>
          <t>Groceries</t>
        </is>
      </c>
      <c r="K599" s="9" t="n">
        <v>457.75</v>
      </c>
      <c r="L599" s="9" t="n">
        <v>38894.82</v>
      </c>
      <c r="M599" s="7" t="inlineStr">
        <is>
          <t>Mobile App</t>
        </is>
      </c>
      <c r="N599" s="7" t="inlineStr">
        <is>
          <t>N</t>
        </is>
      </c>
      <c r="O599" s="7">
        <f>TEXT(D599, "dddd")</f>
        <v/>
      </c>
      <c r="P599" s="7">
        <f>"Q"&amp;ROUNDUP(MONTH(D599)/3, 0)</f>
        <v/>
      </c>
    </row>
    <row r="600">
      <c r="A600" s="4" t="inlineStr">
        <is>
          <t>TXN100603</t>
        </is>
      </c>
      <c r="B600" s="4" t="inlineStr">
        <is>
          <t>CUST0603</t>
        </is>
      </c>
      <c r="C600" s="4" t="inlineStr">
        <is>
          <t>2026-06-01 17:30:00</t>
        </is>
      </c>
      <c r="D600" s="4">
        <f>TEXT(LEFT(C600,10),"YYYY-MM-DD")</f>
        <v/>
      </c>
      <c r="E600" s="5">
        <f>HOUR(C600)</f>
        <v/>
      </c>
      <c r="F600" s="4" t="inlineStr">
        <is>
          <t>Male</t>
        </is>
      </c>
      <c r="G600" s="5" t="n">
        <v>32</v>
      </c>
      <c r="H600" s="4">
        <f>IF(G600&gt;=60, "Boomer", IF(G600&gt;=45, "Gen X", IF(G600&gt;=25, "Millennial", "Gen Z")))</f>
        <v/>
      </c>
      <c r="I600" s="4" t="inlineStr">
        <is>
          <t>Checking</t>
        </is>
      </c>
      <c r="J600" s="4" t="inlineStr">
        <is>
          <t>Utilities</t>
        </is>
      </c>
      <c r="K600" s="6" t="n">
        <v>6627.73</v>
      </c>
      <c r="L600" s="6" t="n">
        <v>6537.1</v>
      </c>
      <c r="M600" s="4" t="inlineStr">
        <is>
          <t>Online Banking</t>
        </is>
      </c>
      <c r="N600" s="4" t="inlineStr">
        <is>
          <t>N</t>
        </is>
      </c>
      <c r="O600" s="4">
        <f>TEXT(D600, "dddd")</f>
        <v/>
      </c>
      <c r="P600" s="4">
        <f>"Q"&amp;ROUNDUP(MONTH(D600)/3, 0)</f>
        <v/>
      </c>
    </row>
    <row r="601">
      <c r="A601" s="7" t="inlineStr">
        <is>
          <t>TXN100604</t>
        </is>
      </c>
      <c r="B601" s="7" t="inlineStr">
        <is>
          <t>CUST0604</t>
        </is>
      </c>
      <c r="C601" s="7" t="inlineStr">
        <is>
          <t>2026-06-01 12:49:00</t>
        </is>
      </c>
      <c r="D601" s="7">
        <f>TEXT(LEFT(C601,10),"YYYY-MM-DD")</f>
        <v/>
      </c>
      <c r="E601" s="8">
        <f>HOUR(C601)</f>
        <v/>
      </c>
      <c r="F601" s="7" t="inlineStr">
        <is>
          <t>Unspecified</t>
        </is>
      </c>
      <c r="G601" s="8" t="n">
        <v>35</v>
      </c>
      <c r="H601" s="7">
        <f>IF(G601&gt;=60, "Boomer", IF(G601&gt;=45, "Gen X", IF(G601&gt;=25, "Millennial", "Gen Z")))</f>
        <v/>
      </c>
      <c r="I601" s="7" t="inlineStr">
        <is>
          <t>Investment</t>
        </is>
      </c>
      <c r="J601" s="7" t="inlineStr">
        <is>
          <t>Groceries</t>
        </is>
      </c>
      <c r="K601" s="9" t="n">
        <v>1601.45</v>
      </c>
      <c r="L601" s="9" t="n">
        <v>36898.48</v>
      </c>
      <c r="M601" s="7" t="inlineStr">
        <is>
          <t>Mobile App</t>
        </is>
      </c>
      <c r="N601" s="7" t="inlineStr">
        <is>
          <t>N</t>
        </is>
      </c>
      <c r="O601" s="7">
        <f>TEXT(D601, "dddd")</f>
        <v/>
      </c>
      <c r="P601" s="7">
        <f>"Q"&amp;ROUNDUP(MONTH(D601)/3, 0)</f>
        <v/>
      </c>
    </row>
    <row r="602">
      <c r="A602" s="4" t="inlineStr">
        <is>
          <t>TXN100605</t>
        </is>
      </c>
      <c r="B602" s="4" t="inlineStr">
        <is>
          <t>CUST0605</t>
        </is>
      </c>
      <c r="C602" s="4" t="inlineStr">
        <is>
          <t>2026-06-01 16:42:00</t>
        </is>
      </c>
      <c r="D602" s="4">
        <f>TEXT(LEFT(C602,10),"YYYY-MM-DD")</f>
        <v/>
      </c>
      <c r="E602" s="5">
        <f>HOUR(C602)</f>
        <v/>
      </c>
      <c r="F602" s="4" t="inlineStr">
        <is>
          <t>Female</t>
        </is>
      </c>
      <c r="G602" s="5" t="n">
        <v>50</v>
      </c>
      <c r="H602" s="4">
        <f>IF(G602&gt;=60, "Boomer", IF(G602&gt;=45, "Gen X", IF(G602&gt;=25, "Millennial", "Gen Z")))</f>
        <v/>
      </c>
      <c r="I602" s="4" t="inlineStr">
        <is>
          <t>Checking</t>
        </is>
      </c>
      <c r="J602" s="4" t="inlineStr">
        <is>
          <t>Entertainment</t>
        </is>
      </c>
      <c r="K602" s="6" t="n">
        <v>7490.36</v>
      </c>
      <c r="L602" s="6" t="n">
        <v>8351.27</v>
      </c>
      <c r="M602" s="4" t="inlineStr">
        <is>
          <t>Mobile App</t>
        </is>
      </c>
      <c r="N602" s="4" t="inlineStr">
        <is>
          <t>Y</t>
        </is>
      </c>
      <c r="O602" s="4">
        <f>TEXT(D602, "dddd")</f>
        <v/>
      </c>
      <c r="P602" s="4">
        <f>"Q"&amp;ROUNDUP(MONTH(D602)/3, 0)</f>
        <v/>
      </c>
    </row>
    <row r="603">
      <c r="A603" s="7" t="inlineStr">
        <is>
          <t>TXN100606</t>
        </is>
      </c>
      <c r="B603" s="7" t="inlineStr">
        <is>
          <t>CUST0606</t>
        </is>
      </c>
      <c r="C603" s="7" t="inlineStr">
        <is>
          <t>2026-06-01 17:33:00</t>
        </is>
      </c>
      <c r="D603" s="7">
        <f>TEXT(LEFT(C603,10),"YYYY-MM-DD")</f>
        <v/>
      </c>
      <c r="E603" s="8">
        <f>HOUR(C603)</f>
        <v/>
      </c>
      <c r="F603" s="7" t="inlineStr">
        <is>
          <t>Male</t>
        </is>
      </c>
      <c r="G603" s="8" t="n">
        <v>36</v>
      </c>
      <c r="H603" s="7">
        <f>IF(G603&gt;=60, "Boomer", IF(G603&gt;=45, "Gen X", IF(G603&gt;=25, "Millennial", "Gen Z")))</f>
        <v/>
      </c>
      <c r="I603" s="7" t="inlineStr">
        <is>
          <t>Checking</t>
        </is>
      </c>
      <c r="J603" s="7" t="inlineStr">
        <is>
          <t>Entertainment</t>
        </is>
      </c>
      <c r="K603" s="9" t="n">
        <v>1597.8</v>
      </c>
      <c r="L603" s="9" t="n">
        <v>44432.22</v>
      </c>
      <c r="M603" s="7" t="inlineStr">
        <is>
          <t>Online Banking</t>
        </is>
      </c>
      <c r="N603" s="7" t="inlineStr">
        <is>
          <t>N</t>
        </is>
      </c>
      <c r="O603" s="7">
        <f>TEXT(D603, "dddd")</f>
        <v/>
      </c>
      <c r="P603" s="7">
        <f>"Q"&amp;ROUNDUP(MONTH(D603)/3, 0)</f>
        <v/>
      </c>
    </row>
    <row r="604">
      <c r="A604" s="4" t="inlineStr">
        <is>
          <t>TXN100607</t>
        </is>
      </c>
      <c r="B604" s="4" t="inlineStr">
        <is>
          <t>CUST0607</t>
        </is>
      </c>
      <c r="C604" s="4" t="inlineStr">
        <is>
          <t>2026-06-01 03:15:00</t>
        </is>
      </c>
      <c r="D604" s="4">
        <f>TEXT(LEFT(C604,10),"YYYY-MM-DD")</f>
        <v/>
      </c>
      <c r="E604" s="5">
        <f>HOUR(C604)</f>
        <v/>
      </c>
      <c r="F604" s="4" t="inlineStr">
        <is>
          <t>Unspecified</t>
        </is>
      </c>
      <c r="G604" s="5" t="n">
        <v>40</v>
      </c>
      <c r="H604" s="4">
        <f>IF(G604&gt;=60, "Boomer", IF(G604&gt;=45, "Gen X", IF(G604&gt;=25, "Millennial", "Gen Z")))</f>
        <v/>
      </c>
      <c r="I604" s="4" t="inlineStr">
        <is>
          <t>Savings</t>
        </is>
      </c>
      <c r="J604" s="4" t="inlineStr">
        <is>
          <t>Groceries</t>
        </is>
      </c>
      <c r="K604" s="6" t="n">
        <v>6357.18</v>
      </c>
      <c r="L604" s="6" t="n">
        <v>29442.49</v>
      </c>
      <c r="M604" s="4" t="inlineStr">
        <is>
          <t>ATM</t>
        </is>
      </c>
      <c r="N604" s="4" t="inlineStr">
        <is>
          <t>N</t>
        </is>
      </c>
      <c r="O604" s="4">
        <f>TEXT(D604, "dddd")</f>
        <v/>
      </c>
      <c r="P604" s="4">
        <f>"Q"&amp;ROUNDUP(MONTH(D604)/3, 0)</f>
        <v/>
      </c>
    </row>
    <row r="605">
      <c r="A605" s="7" t="inlineStr">
        <is>
          <t>TXN100608</t>
        </is>
      </c>
      <c r="B605" s="7" t="inlineStr">
        <is>
          <t>CUST0608</t>
        </is>
      </c>
      <c r="C605" s="7" t="inlineStr">
        <is>
          <t>2026-06-01 07:00:00</t>
        </is>
      </c>
      <c r="D605" s="7">
        <f>TEXT(LEFT(C605,10),"YYYY-MM-DD")</f>
        <v/>
      </c>
      <c r="E605" s="8">
        <f>HOUR(C605)</f>
        <v/>
      </c>
      <c r="F605" s="7" t="inlineStr">
        <is>
          <t>Male</t>
        </is>
      </c>
      <c r="G605" s="8" t="n">
        <v>57</v>
      </c>
      <c r="H605" s="7">
        <f>IF(G605&gt;=60, "Boomer", IF(G605&gt;=45, "Gen X", IF(G605&gt;=25, "Millennial", "Gen Z")))</f>
        <v/>
      </c>
      <c r="I605" s="7" t="inlineStr">
        <is>
          <t>Investment</t>
        </is>
      </c>
      <c r="J605" s="7" t="inlineStr">
        <is>
          <t>Utilities</t>
        </is>
      </c>
      <c r="K605" s="9" t="n">
        <v>5510.37</v>
      </c>
      <c r="L605" s="9" t="n">
        <v>8172.1</v>
      </c>
      <c r="M605" s="7" t="inlineStr">
        <is>
          <t>Mobile App</t>
        </is>
      </c>
      <c r="N605" s="7" t="inlineStr">
        <is>
          <t>N</t>
        </is>
      </c>
      <c r="O605" s="7">
        <f>TEXT(D605, "dddd")</f>
        <v/>
      </c>
      <c r="P605" s="7">
        <f>"Q"&amp;ROUNDUP(MONTH(D605)/3, 0)</f>
        <v/>
      </c>
    </row>
    <row r="606">
      <c r="A606" s="4" t="inlineStr">
        <is>
          <t>TXN100609</t>
        </is>
      </c>
      <c r="B606" s="4" t="inlineStr">
        <is>
          <t>CUST0609</t>
        </is>
      </c>
      <c r="C606" s="4" t="inlineStr">
        <is>
          <t>2026-06-01 07:10:00</t>
        </is>
      </c>
      <c r="D606" s="4">
        <f>TEXT(LEFT(C606,10),"YYYY-MM-DD")</f>
        <v/>
      </c>
      <c r="E606" s="5">
        <f>HOUR(C606)</f>
        <v/>
      </c>
      <c r="F606" s="4" t="inlineStr">
        <is>
          <t>Unspecified</t>
        </is>
      </c>
      <c r="G606" s="5" t="n">
        <v>25</v>
      </c>
      <c r="H606" s="4">
        <f>IF(G606&gt;=60, "Boomer", IF(G606&gt;=45, "Gen X", IF(G606&gt;=25, "Millennial", "Gen Z")))</f>
        <v/>
      </c>
      <c r="I606" s="4" t="inlineStr">
        <is>
          <t>Investment</t>
        </is>
      </c>
      <c r="J606" s="4" t="inlineStr">
        <is>
          <t>Travel</t>
        </is>
      </c>
      <c r="K606" s="6" t="n">
        <v>2713.99</v>
      </c>
      <c r="L606" s="6" t="n">
        <v>48497.76</v>
      </c>
      <c r="M606" s="4" t="inlineStr">
        <is>
          <t>Mobile App</t>
        </is>
      </c>
      <c r="N606" s="4" t="inlineStr">
        <is>
          <t>N</t>
        </is>
      </c>
      <c r="O606" s="4">
        <f>TEXT(D606, "dddd")</f>
        <v/>
      </c>
      <c r="P606" s="4">
        <f>"Q"&amp;ROUNDUP(MONTH(D606)/3, 0)</f>
        <v/>
      </c>
    </row>
    <row r="607">
      <c r="A607" s="7" t="inlineStr">
        <is>
          <t>TXN100610</t>
        </is>
      </c>
      <c r="B607" s="7" t="inlineStr">
        <is>
          <t>CUST0610</t>
        </is>
      </c>
      <c r="C607" s="7" t="inlineStr">
        <is>
          <t>2026-06-01 01:22:00</t>
        </is>
      </c>
      <c r="D607" s="7">
        <f>TEXT(LEFT(C607,10),"YYYY-MM-DD")</f>
        <v/>
      </c>
      <c r="E607" s="8">
        <f>HOUR(C607)</f>
        <v/>
      </c>
      <c r="F607" s="7" t="inlineStr">
        <is>
          <t>Male</t>
        </is>
      </c>
      <c r="G607" s="8" t="n">
        <v>64</v>
      </c>
      <c r="H607" s="7">
        <f>IF(G607&gt;=60, "Boomer", IF(G607&gt;=45, "Gen X", IF(G607&gt;=25, "Millennial", "Gen Z")))</f>
        <v/>
      </c>
      <c r="I607" s="7" t="inlineStr">
        <is>
          <t>Investment</t>
        </is>
      </c>
      <c r="J607" s="7" t="inlineStr">
        <is>
          <t>Groceries</t>
        </is>
      </c>
      <c r="K607" s="9" t="n">
        <v>1015.36</v>
      </c>
      <c r="L607" s="9" t="n">
        <v>12017.39</v>
      </c>
      <c r="M607" s="7" t="inlineStr">
        <is>
          <t>Branch Office</t>
        </is>
      </c>
      <c r="N607" s="7" t="inlineStr">
        <is>
          <t>N</t>
        </is>
      </c>
      <c r="O607" s="7">
        <f>TEXT(D607, "dddd")</f>
        <v/>
      </c>
      <c r="P607" s="7">
        <f>"Q"&amp;ROUNDUP(MONTH(D607)/3, 0)</f>
        <v/>
      </c>
    </row>
    <row r="608">
      <c r="A608" s="4" t="inlineStr">
        <is>
          <t>TXN100611</t>
        </is>
      </c>
      <c r="B608" s="4" t="inlineStr">
        <is>
          <t>CUST0611</t>
        </is>
      </c>
      <c r="C608" s="4" t="inlineStr">
        <is>
          <t>2026-06-01 14:46:00</t>
        </is>
      </c>
      <c r="D608" s="4">
        <f>TEXT(LEFT(C608,10),"YYYY-MM-DD")</f>
        <v/>
      </c>
      <c r="E608" s="5">
        <f>HOUR(C608)</f>
        <v/>
      </c>
      <c r="F608" s="4" t="inlineStr">
        <is>
          <t>Female</t>
        </is>
      </c>
      <c r="G608" s="5" t="n">
        <v>21</v>
      </c>
      <c r="H608" s="4">
        <f>IF(G608&gt;=60, "Boomer", IF(G608&gt;=45, "Gen X", IF(G608&gt;=25, "Millennial", "Gen Z")))</f>
        <v/>
      </c>
      <c r="I608" s="4" t="inlineStr">
        <is>
          <t>Investment</t>
        </is>
      </c>
      <c r="J608" s="4" t="inlineStr">
        <is>
          <t>Utilities</t>
        </is>
      </c>
      <c r="K608" s="6" t="n">
        <v>2871.76</v>
      </c>
      <c r="L608" s="6" t="n">
        <v>7169.24</v>
      </c>
      <c r="M608" s="4" t="inlineStr">
        <is>
          <t>Mobile App</t>
        </is>
      </c>
      <c r="N608" s="4" t="inlineStr">
        <is>
          <t>N</t>
        </is>
      </c>
      <c r="O608" s="4">
        <f>TEXT(D608, "dddd")</f>
        <v/>
      </c>
      <c r="P608" s="4">
        <f>"Q"&amp;ROUNDUP(MONTH(D608)/3, 0)</f>
        <v/>
      </c>
    </row>
    <row r="609">
      <c r="A609" s="7" t="inlineStr">
        <is>
          <t>TXN100612</t>
        </is>
      </c>
      <c r="B609" s="7" t="inlineStr">
        <is>
          <t>CUST0612</t>
        </is>
      </c>
      <c r="C609" s="7" t="inlineStr">
        <is>
          <t>2026-06-01 15:45:00</t>
        </is>
      </c>
      <c r="D609" s="7">
        <f>TEXT(LEFT(C609,10),"YYYY-MM-DD")</f>
        <v/>
      </c>
      <c r="E609" s="8">
        <f>HOUR(C609)</f>
        <v/>
      </c>
      <c r="F609" s="7" t="inlineStr">
        <is>
          <t>Unspecified</t>
        </is>
      </c>
      <c r="G609" s="8" t="n">
        <v>55</v>
      </c>
      <c r="H609" s="7">
        <f>IF(G609&gt;=60, "Boomer", IF(G609&gt;=45, "Gen X", IF(G609&gt;=25, "Millennial", "Gen Z")))</f>
        <v/>
      </c>
      <c r="I609" s="7" t="inlineStr">
        <is>
          <t>Checking</t>
        </is>
      </c>
      <c r="J609" s="7" t="inlineStr">
        <is>
          <t>Travel</t>
        </is>
      </c>
      <c r="K609" s="9" t="n">
        <v>5579.33</v>
      </c>
      <c r="L609" s="9" t="n">
        <v>9893.9</v>
      </c>
      <c r="M609" s="7" t="inlineStr">
        <is>
          <t>Online Banking</t>
        </is>
      </c>
      <c r="N609" s="7" t="inlineStr">
        <is>
          <t>N</t>
        </is>
      </c>
      <c r="O609" s="7">
        <f>TEXT(D609, "dddd")</f>
        <v/>
      </c>
      <c r="P609" s="7">
        <f>"Q"&amp;ROUNDUP(MONTH(D609)/3, 0)</f>
        <v/>
      </c>
    </row>
    <row r="610">
      <c r="A610" s="4" t="inlineStr">
        <is>
          <t>TXN100613</t>
        </is>
      </c>
      <c r="B610" s="4" t="inlineStr">
        <is>
          <t>CUST0613</t>
        </is>
      </c>
      <c r="C610" s="4" t="inlineStr">
        <is>
          <t>2026-06-01 17:22:00</t>
        </is>
      </c>
      <c r="D610" s="4">
        <f>TEXT(LEFT(C610,10),"YYYY-MM-DD")</f>
        <v/>
      </c>
      <c r="E610" s="5">
        <f>HOUR(C610)</f>
        <v/>
      </c>
      <c r="F610" s="4" t="inlineStr">
        <is>
          <t>Female</t>
        </is>
      </c>
      <c r="G610" s="5" t="n">
        <v>66</v>
      </c>
      <c r="H610" s="4">
        <f>IF(G610&gt;=60, "Boomer", IF(G610&gt;=45, "Gen X", IF(G610&gt;=25, "Millennial", "Gen Z")))</f>
        <v/>
      </c>
      <c r="I610" s="4" t="inlineStr">
        <is>
          <t>Checking</t>
        </is>
      </c>
      <c r="J610" s="4" t="inlineStr">
        <is>
          <t>Entertainment</t>
        </is>
      </c>
      <c r="K610" s="6" t="n">
        <v>6942.62</v>
      </c>
      <c r="L610" s="6" t="n">
        <v>30134.66</v>
      </c>
      <c r="M610" s="4" t="inlineStr">
        <is>
          <t>Online Banking</t>
        </is>
      </c>
      <c r="N610" s="4" t="inlineStr">
        <is>
          <t>N</t>
        </is>
      </c>
      <c r="O610" s="4">
        <f>TEXT(D610, "dddd")</f>
        <v/>
      </c>
      <c r="P610" s="4">
        <f>"Q"&amp;ROUNDUP(MONTH(D610)/3, 0)</f>
        <v/>
      </c>
    </row>
    <row r="611">
      <c r="A611" s="7" t="inlineStr">
        <is>
          <t>TXN100614</t>
        </is>
      </c>
      <c r="B611" s="7" t="inlineStr">
        <is>
          <t>CUST0614</t>
        </is>
      </c>
      <c r="C611" s="7" t="inlineStr">
        <is>
          <t>2026-06-01 02:33:00</t>
        </is>
      </c>
      <c r="D611" s="7">
        <f>TEXT(LEFT(C611,10),"YYYY-MM-DD")</f>
        <v/>
      </c>
      <c r="E611" s="8">
        <f>HOUR(C611)</f>
        <v/>
      </c>
      <c r="F611" s="7" t="inlineStr">
        <is>
          <t>Male</t>
        </is>
      </c>
      <c r="G611" s="8" t="n">
        <v>48</v>
      </c>
      <c r="H611" s="7">
        <f>IF(G611&gt;=60, "Boomer", IF(G611&gt;=45, "Gen X", IF(G611&gt;=25, "Millennial", "Gen Z")))</f>
        <v/>
      </c>
      <c r="I611" s="7" t="inlineStr">
        <is>
          <t>Checking</t>
        </is>
      </c>
      <c r="J611" s="7" t="inlineStr">
        <is>
          <t>Entertainment</t>
        </is>
      </c>
      <c r="K611" s="9" t="n">
        <v>4337.43</v>
      </c>
      <c r="L611" s="9" t="n">
        <v>22976.91</v>
      </c>
      <c r="M611" s="7" t="inlineStr">
        <is>
          <t>ATM</t>
        </is>
      </c>
      <c r="N611" s="7" t="inlineStr">
        <is>
          <t>N</t>
        </is>
      </c>
      <c r="O611" s="7">
        <f>TEXT(D611, "dddd")</f>
        <v/>
      </c>
      <c r="P611" s="7">
        <f>"Q"&amp;ROUNDUP(MONTH(D611)/3, 0)</f>
        <v/>
      </c>
    </row>
    <row r="612">
      <c r="A612" s="4" t="inlineStr">
        <is>
          <t>TXN100615</t>
        </is>
      </c>
      <c r="B612" s="4" t="inlineStr">
        <is>
          <t>CUST0615</t>
        </is>
      </c>
      <c r="C612" s="4" t="inlineStr">
        <is>
          <t>2026-06-01 23:11:00</t>
        </is>
      </c>
      <c r="D612" s="4">
        <f>TEXT(LEFT(C612,10),"YYYY-MM-DD")</f>
        <v/>
      </c>
      <c r="E612" s="5">
        <f>HOUR(C612)</f>
        <v/>
      </c>
      <c r="F612" s="4" t="inlineStr">
        <is>
          <t>Male</t>
        </is>
      </c>
      <c r="G612" s="5" t="n">
        <v>59</v>
      </c>
      <c r="H612" s="4">
        <f>IF(G612&gt;=60, "Boomer", IF(G612&gt;=45, "Gen X", IF(G612&gt;=25, "Millennial", "Gen Z")))</f>
        <v/>
      </c>
      <c r="I612" s="4" t="inlineStr">
        <is>
          <t>Checking</t>
        </is>
      </c>
      <c r="J612" s="4" t="inlineStr">
        <is>
          <t>Travel</t>
        </is>
      </c>
      <c r="K612" s="6" t="n">
        <v>1917.9</v>
      </c>
      <c r="L612" s="6" t="n">
        <v>36189.68</v>
      </c>
      <c r="M612" s="4" t="inlineStr">
        <is>
          <t>ATM</t>
        </is>
      </c>
      <c r="N612" s="4" t="inlineStr">
        <is>
          <t>N</t>
        </is>
      </c>
      <c r="O612" s="4">
        <f>TEXT(D612, "dddd")</f>
        <v/>
      </c>
      <c r="P612" s="4">
        <f>"Q"&amp;ROUNDUP(MONTH(D612)/3, 0)</f>
        <v/>
      </c>
    </row>
    <row r="613">
      <c r="A613" s="7" t="inlineStr">
        <is>
          <t>TXN100616</t>
        </is>
      </c>
      <c r="B613" s="7" t="inlineStr">
        <is>
          <t>CUST0616</t>
        </is>
      </c>
      <c r="C613" s="7" t="inlineStr">
        <is>
          <t>2026-06-01 06:33:00</t>
        </is>
      </c>
      <c r="D613" s="7">
        <f>TEXT(LEFT(C613,10),"YYYY-MM-DD")</f>
        <v/>
      </c>
      <c r="E613" s="8">
        <f>HOUR(C613)</f>
        <v/>
      </c>
      <c r="F613" s="7" t="inlineStr">
        <is>
          <t>Unspecified</t>
        </is>
      </c>
      <c r="G613" s="8" t="n">
        <v>69</v>
      </c>
      <c r="H613" s="7">
        <f>IF(G613&gt;=60, "Boomer", IF(G613&gt;=45, "Gen X", IF(G613&gt;=25, "Millennial", "Gen Z")))</f>
        <v/>
      </c>
      <c r="I613" s="7" t="inlineStr">
        <is>
          <t>Investment</t>
        </is>
      </c>
      <c r="J613" s="7" t="inlineStr">
        <is>
          <t>Groceries</t>
        </is>
      </c>
      <c r="K613" s="9" t="n">
        <v>4908.18</v>
      </c>
      <c r="L613" s="9" t="n">
        <v>16468.7</v>
      </c>
      <c r="M613" s="7" t="inlineStr">
        <is>
          <t>Branch Office</t>
        </is>
      </c>
      <c r="N613" s="7" t="inlineStr">
        <is>
          <t>N</t>
        </is>
      </c>
      <c r="O613" s="7">
        <f>TEXT(D613, "dddd")</f>
        <v/>
      </c>
      <c r="P613" s="7">
        <f>"Q"&amp;ROUNDUP(MONTH(D613)/3, 0)</f>
        <v/>
      </c>
    </row>
    <row r="614">
      <c r="A614" s="4" t="inlineStr">
        <is>
          <t>TXN100617</t>
        </is>
      </c>
      <c r="B614" s="4" t="inlineStr">
        <is>
          <t>CUST0617</t>
        </is>
      </c>
      <c r="C614" s="4" t="inlineStr">
        <is>
          <t>2026-06-01 03:06:00</t>
        </is>
      </c>
      <c r="D614" s="4">
        <f>TEXT(LEFT(C614,10),"YYYY-MM-DD")</f>
        <v/>
      </c>
      <c r="E614" s="5">
        <f>HOUR(C614)</f>
        <v/>
      </c>
      <c r="F614" s="4" t="inlineStr">
        <is>
          <t>Male</t>
        </is>
      </c>
      <c r="G614" s="5" t="n">
        <v>22</v>
      </c>
      <c r="H614" s="4">
        <f>IF(G614&gt;=60, "Boomer", IF(G614&gt;=45, "Gen X", IF(G614&gt;=25, "Millennial", "Gen Z")))</f>
        <v/>
      </c>
      <c r="I614" s="4" t="inlineStr">
        <is>
          <t>Savings</t>
        </is>
      </c>
      <c r="J614" s="4" t="inlineStr">
        <is>
          <t>Groceries</t>
        </is>
      </c>
      <c r="K614" s="6" t="n">
        <v>6989.21</v>
      </c>
      <c r="L614" s="6" t="n">
        <v>10502.91</v>
      </c>
      <c r="M614" s="4" t="inlineStr">
        <is>
          <t>ATM</t>
        </is>
      </c>
      <c r="N614" s="4" t="inlineStr">
        <is>
          <t>N</t>
        </is>
      </c>
      <c r="O614" s="4">
        <f>TEXT(D614, "dddd")</f>
        <v/>
      </c>
      <c r="P614" s="4">
        <f>"Q"&amp;ROUNDUP(MONTH(D614)/3, 0)</f>
        <v/>
      </c>
    </row>
    <row r="615">
      <c r="A615" s="7" t="inlineStr">
        <is>
          <t>TXN100618</t>
        </is>
      </c>
      <c r="B615" s="7" t="inlineStr">
        <is>
          <t>CUST0618</t>
        </is>
      </c>
      <c r="C615" s="7" t="inlineStr">
        <is>
          <t>2026-06-01 06:06:00</t>
        </is>
      </c>
      <c r="D615" s="7">
        <f>TEXT(LEFT(C615,10),"YYYY-MM-DD")</f>
        <v/>
      </c>
      <c r="E615" s="8">
        <f>HOUR(C615)</f>
        <v/>
      </c>
      <c r="F615" s="7" t="inlineStr">
        <is>
          <t>Male</t>
        </is>
      </c>
      <c r="G615" s="8" t="n">
        <v>56</v>
      </c>
      <c r="H615" s="7">
        <f>IF(G615&gt;=60, "Boomer", IF(G615&gt;=45, "Gen X", IF(G615&gt;=25, "Millennial", "Gen Z")))</f>
        <v/>
      </c>
      <c r="I615" s="7" t="inlineStr">
        <is>
          <t>Investment</t>
        </is>
      </c>
      <c r="J615" s="7" t="inlineStr">
        <is>
          <t>Utilities</t>
        </is>
      </c>
      <c r="K615" s="9" t="n">
        <v>5266.79</v>
      </c>
      <c r="L615" s="9" t="n">
        <v>26528.16</v>
      </c>
      <c r="M615" s="7" t="inlineStr">
        <is>
          <t>Branch Office</t>
        </is>
      </c>
      <c r="N615" s="7" t="inlineStr">
        <is>
          <t>N</t>
        </is>
      </c>
      <c r="O615" s="7">
        <f>TEXT(D615, "dddd")</f>
        <v/>
      </c>
      <c r="P615" s="7">
        <f>"Q"&amp;ROUNDUP(MONTH(D615)/3, 0)</f>
        <v/>
      </c>
    </row>
    <row r="616">
      <c r="A616" s="4" t="inlineStr">
        <is>
          <t>TXN100619</t>
        </is>
      </c>
      <c r="B616" s="4" t="inlineStr">
        <is>
          <t>CUST0619</t>
        </is>
      </c>
      <c r="C616" s="4" t="inlineStr">
        <is>
          <t>2026-06-01 01:23:00</t>
        </is>
      </c>
      <c r="D616" s="4">
        <f>TEXT(LEFT(C616,10),"YYYY-MM-DD")</f>
        <v/>
      </c>
      <c r="E616" s="5">
        <f>HOUR(C616)</f>
        <v/>
      </c>
      <c r="F616" s="4" t="inlineStr">
        <is>
          <t>Female</t>
        </is>
      </c>
      <c r="G616" s="5" t="n">
        <v>58</v>
      </c>
      <c r="H616" s="4">
        <f>IF(G616&gt;=60, "Boomer", IF(G616&gt;=45, "Gen X", IF(G616&gt;=25, "Millennial", "Gen Z")))</f>
        <v/>
      </c>
      <c r="I616" s="4" t="inlineStr">
        <is>
          <t>Investment</t>
        </is>
      </c>
      <c r="J616" s="4" t="inlineStr">
        <is>
          <t>Groceries</t>
        </is>
      </c>
      <c r="K616" s="6" t="n">
        <v>114.56</v>
      </c>
      <c r="L616" s="6" t="n">
        <v>46091.24</v>
      </c>
      <c r="M616" s="4" t="inlineStr">
        <is>
          <t>ATM</t>
        </is>
      </c>
      <c r="N616" s="4" t="inlineStr">
        <is>
          <t>N</t>
        </is>
      </c>
      <c r="O616" s="4">
        <f>TEXT(D616, "dddd")</f>
        <v/>
      </c>
      <c r="P616" s="4">
        <f>"Q"&amp;ROUNDUP(MONTH(D616)/3, 0)</f>
        <v/>
      </c>
    </row>
    <row r="617">
      <c r="A617" s="7" t="inlineStr">
        <is>
          <t>TXN100620</t>
        </is>
      </c>
      <c r="B617" s="7" t="inlineStr">
        <is>
          <t>CUST0620</t>
        </is>
      </c>
      <c r="C617" s="7" t="inlineStr">
        <is>
          <t>2026-06-01 02:29:00</t>
        </is>
      </c>
      <c r="D617" s="7">
        <f>TEXT(LEFT(C617,10),"YYYY-MM-DD")</f>
        <v/>
      </c>
      <c r="E617" s="8">
        <f>HOUR(C617)</f>
        <v/>
      </c>
      <c r="F617" s="7" t="inlineStr">
        <is>
          <t>Male</t>
        </is>
      </c>
      <c r="G617" s="8" t="n">
        <v>43</v>
      </c>
      <c r="H617" s="7">
        <f>IF(G617&gt;=60, "Boomer", IF(G617&gt;=45, "Gen X", IF(G617&gt;=25, "Millennial", "Gen Z")))</f>
        <v/>
      </c>
      <c r="I617" s="7" t="inlineStr">
        <is>
          <t>Investment</t>
        </is>
      </c>
      <c r="J617" s="7" t="inlineStr">
        <is>
          <t>Utilities</t>
        </is>
      </c>
      <c r="K617" s="9" t="n">
        <v>6577.99</v>
      </c>
      <c r="L617" s="9" t="n">
        <v>39815.35</v>
      </c>
      <c r="M617" s="7" t="inlineStr">
        <is>
          <t>Mobile App</t>
        </is>
      </c>
      <c r="N617" s="7" t="inlineStr">
        <is>
          <t>N</t>
        </is>
      </c>
      <c r="O617" s="7">
        <f>TEXT(D617, "dddd")</f>
        <v/>
      </c>
      <c r="P617" s="7">
        <f>"Q"&amp;ROUNDUP(MONTH(D617)/3, 0)</f>
        <v/>
      </c>
    </row>
    <row r="618">
      <c r="A618" s="4" t="inlineStr">
        <is>
          <t>TXN100621</t>
        </is>
      </c>
      <c r="B618" s="4" t="inlineStr">
        <is>
          <t>CUST0621</t>
        </is>
      </c>
      <c r="C618" s="4" t="inlineStr">
        <is>
          <t>2026-06-01 19:17:00</t>
        </is>
      </c>
      <c r="D618" s="4">
        <f>TEXT(LEFT(C618,10),"YYYY-MM-DD")</f>
        <v/>
      </c>
      <c r="E618" s="5">
        <f>HOUR(C618)</f>
        <v/>
      </c>
      <c r="F618" s="4" t="inlineStr">
        <is>
          <t>Male</t>
        </is>
      </c>
      <c r="G618" s="5" t="n">
        <v>66</v>
      </c>
      <c r="H618" s="4">
        <f>IF(G618&gt;=60, "Boomer", IF(G618&gt;=45, "Gen X", IF(G618&gt;=25, "Millennial", "Gen Z")))</f>
        <v/>
      </c>
      <c r="I618" s="4" t="inlineStr">
        <is>
          <t>Savings</t>
        </is>
      </c>
      <c r="J618" s="4" t="inlineStr">
        <is>
          <t>Entertainment</t>
        </is>
      </c>
      <c r="K618" s="6" t="n">
        <v>632.7</v>
      </c>
      <c r="L618" s="6" t="n">
        <v>11187.05</v>
      </c>
      <c r="M618" s="4" t="inlineStr">
        <is>
          <t>Mobile App</t>
        </is>
      </c>
      <c r="N618" s="4" t="inlineStr">
        <is>
          <t>N</t>
        </is>
      </c>
      <c r="O618" s="4">
        <f>TEXT(D618, "dddd")</f>
        <v/>
      </c>
      <c r="P618" s="4">
        <f>"Q"&amp;ROUNDUP(MONTH(D618)/3, 0)</f>
        <v/>
      </c>
    </row>
    <row r="619">
      <c r="A619" s="7" t="inlineStr">
        <is>
          <t>TXN100622</t>
        </is>
      </c>
      <c r="B619" s="7" t="inlineStr">
        <is>
          <t>CUST0622</t>
        </is>
      </c>
      <c r="C619" s="7" t="inlineStr">
        <is>
          <t>2026-06-01 03:46:00</t>
        </is>
      </c>
      <c r="D619" s="7">
        <f>TEXT(LEFT(C619,10),"YYYY-MM-DD")</f>
        <v/>
      </c>
      <c r="E619" s="8">
        <f>HOUR(C619)</f>
        <v/>
      </c>
      <c r="F619" s="7" t="inlineStr">
        <is>
          <t>Female</t>
        </is>
      </c>
      <c r="G619" s="8" t="n">
        <v>54</v>
      </c>
      <c r="H619" s="7">
        <f>IF(G619&gt;=60, "Boomer", IF(G619&gt;=45, "Gen X", IF(G619&gt;=25, "Millennial", "Gen Z")))</f>
        <v/>
      </c>
      <c r="I619" s="7" t="inlineStr">
        <is>
          <t>Checking</t>
        </is>
      </c>
      <c r="J619" s="7" t="inlineStr">
        <is>
          <t>Groceries</t>
        </is>
      </c>
      <c r="K619" s="9" t="n">
        <v>1553.02</v>
      </c>
      <c r="L619" s="9" t="n">
        <v>33015.39</v>
      </c>
      <c r="M619" s="7" t="inlineStr">
        <is>
          <t>Online Banking</t>
        </is>
      </c>
      <c r="N619" s="7" t="inlineStr">
        <is>
          <t>N</t>
        </is>
      </c>
      <c r="O619" s="7">
        <f>TEXT(D619, "dddd")</f>
        <v/>
      </c>
      <c r="P619" s="7">
        <f>"Q"&amp;ROUNDUP(MONTH(D619)/3, 0)</f>
        <v/>
      </c>
    </row>
    <row r="620">
      <c r="A620" s="4" t="inlineStr">
        <is>
          <t>TXN100623</t>
        </is>
      </c>
      <c r="B620" s="4" t="inlineStr">
        <is>
          <t>CUST0623</t>
        </is>
      </c>
      <c r="C620" s="4" t="inlineStr">
        <is>
          <t>2026-06-01 17:47:00</t>
        </is>
      </c>
      <c r="D620" s="4">
        <f>TEXT(LEFT(C620,10),"YYYY-MM-DD")</f>
        <v/>
      </c>
      <c r="E620" s="5">
        <f>HOUR(C620)</f>
        <v/>
      </c>
      <c r="F620" s="4" t="inlineStr">
        <is>
          <t>Unspecified</t>
        </is>
      </c>
      <c r="G620" s="5" t="n">
        <v>67</v>
      </c>
      <c r="H620" s="4">
        <f>IF(G620&gt;=60, "Boomer", IF(G620&gt;=45, "Gen X", IF(G620&gt;=25, "Millennial", "Gen Z")))</f>
        <v/>
      </c>
      <c r="I620" s="4" t="inlineStr">
        <is>
          <t>Savings</t>
        </is>
      </c>
      <c r="J620" s="4" t="inlineStr">
        <is>
          <t>Travel</t>
        </is>
      </c>
      <c r="K620" s="6" t="n">
        <v>2870.13</v>
      </c>
      <c r="L620" s="6" t="n">
        <v>23206.67</v>
      </c>
      <c r="M620" s="4" t="inlineStr">
        <is>
          <t>ATM</t>
        </is>
      </c>
      <c r="N620" s="4" t="inlineStr">
        <is>
          <t>N</t>
        </is>
      </c>
      <c r="O620" s="4">
        <f>TEXT(D620, "dddd")</f>
        <v/>
      </c>
      <c r="P620" s="4">
        <f>"Q"&amp;ROUNDUP(MONTH(D620)/3, 0)</f>
        <v/>
      </c>
    </row>
    <row r="621">
      <c r="A621" s="7" t="inlineStr">
        <is>
          <t>TXN100624</t>
        </is>
      </c>
      <c r="B621" s="7" t="inlineStr">
        <is>
          <t>CUST0624</t>
        </is>
      </c>
      <c r="C621" s="7" t="inlineStr">
        <is>
          <t>2026-06-01 03:10:00</t>
        </is>
      </c>
      <c r="D621" s="7">
        <f>TEXT(LEFT(C621,10),"YYYY-MM-DD")</f>
        <v/>
      </c>
      <c r="E621" s="8">
        <f>HOUR(C621)</f>
        <v/>
      </c>
      <c r="F621" s="7" t="inlineStr">
        <is>
          <t>Male</t>
        </is>
      </c>
      <c r="G621" s="8" t="n">
        <v>55</v>
      </c>
      <c r="H621" s="7">
        <f>IF(G621&gt;=60, "Boomer", IF(G621&gt;=45, "Gen X", IF(G621&gt;=25, "Millennial", "Gen Z")))</f>
        <v/>
      </c>
      <c r="I621" s="7" t="inlineStr">
        <is>
          <t>Checking</t>
        </is>
      </c>
      <c r="J621" s="7" t="inlineStr">
        <is>
          <t>Travel</t>
        </is>
      </c>
      <c r="K621" s="9" t="n">
        <v>2706.73</v>
      </c>
      <c r="L621" s="9" t="n">
        <v>8329.73</v>
      </c>
      <c r="M621" s="7" t="inlineStr">
        <is>
          <t>ATM</t>
        </is>
      </c>
      <c r="N621" s="7" t="inlineStr">
        <is>
          <t>N</t>
        </is>
      </c>
      <c r="O621" s="7">
        <f>TEXT(D621, "dddd")</f>
        <v/>
      </c>
      <c r="P621" s="7">
        <f>"Q"&amp;ROUNDUP(MONTH(D621)/3, 0)</f>
        <v/>
      </c>
    </row>
    <row r="622">
      <c r="A622" s="4" t="inlineStr">
        <is>
          <t>TXN100625</t>
        </is>
      </c>
      <c r="B622" s="4" t="inlineStr">
        <is>
          <t>CUST0625</t>
        </is>
      </c>
      <c r="C622" s="4" t="inlineStr">
        <is>
          <t>2026-06-01 11:57:00</t>
        </is>
      </c>
      <c r="D622" s="4">
        <f>TEXT(LEFT(C622,10),"YYYY-MM-DD")</f>
        <v/>
      </c>
      <c r="E622" s="5">
        <f>HOUR(C622)</f>
        <v/>
      </c>
      <c r="F622" s="4" t="inlineStr">
        <is>
          <t>Female</t>
        </is>
      </c>
      <c r="G622" s="5" t="n">
        <v>55</v>
      </c>
      <c r="H622" s="4">
        <f>IF(G622&gt;=60, "Boomer", IF(G622&gt;=45, "Gen X", IF(G622&gt;=25, "Millennial", "Gen Z")))</f>
        <v/>
      </c>
      <c r="I622" s="4" t="inlineStr">
        <is>
          <t>Checking</t>
        </is>
      </c>
      <c r="J622" s="4" t="inlineStr">
        <is>
          <t>Entertainment</t>
        </is>
      </c>
      <c r="K622" s="6" t="n">
        <v>3304.62</v>
      </c>
      <c r="L622" s="6" t="n">
        <v>31845.42</v>
      </c>
      <c r="M622" s="4" t="inlineStr">
        <is>
          <t>Branch Office</t>
        </is>
      </c>
      <c r="N622" s="4" t="inlineStr">
        <is>
          <t>N</t>
        </is>
      </c>
      <c r="O622" s="4">
        <f>TEXT(D622, "dddd")</f>
        <v/>
      </c>
      <c r="P622" s="4">
        <f>"Q"&amp;ROUNDUP(MONTH(D622)/3, 0)</f>
        <v/>
      </c>
    </row>
    <row r="623">
      <c r="A623" s="7" t="inlineStr">
        <is>
          <t>TXN100626</t>
        </is>
      </c>
      <c r="B623" s="7" t="inlineStr">
        <is>
          <t>CUST0626</t>
        </is>
      </c>
      <c r="C623" s="7" t="inlineStr">
        <is>
          <t>2026-06-01 19:15:00</t>
        </is>
      </c>
      <c r="D623" s="7">
        <f>TEXT(LEFT(C623,10),"YYYY-MM-DD")</f>
        <v/>
      </c>
      <c r="E623" s="8">
        <f>HOUR(C623)</f>
        <v/>
      </c>
      <c r="F623" s="7" t="inlineStr">
        <is>
          <t>Female</t>
        </is>
      </c>
      <c r="G623" s="8" t="n">
        <v>44</v>
      </c>
      <c r="H623" s="7">
        <f>IF(G623&gt;=60, "Boomer", IF(G623&gt;=45, "Gen X", IF(G623&gt;=25, "Millennial", "Gen Z")))</f>
        <v/>
      </c>
      <c r="I623" s="7" t="inlineStr">
        <is>
          <t>Investment</t>
        </is>
      </c>
      <c r="J623" s="7" t="inlineStr">
        <is>
          <t>Entertainment</t>
        </is>
      </c>
      <c r="K623" s="9" t="n">
        <v>2886.47</v>
      </c>
      <c r="L623" s="9" t="n">
        <v>22893.97</v>
      </c>
      <c r="M623" s="7" t="inlineStr">
        <is>
          <t>ATM</t>
        </is>
      </c>
      <c r="N623" s="7" t="inlineStr">
        <is>
          <t>N</t>
        </is>
      </c>
      <c r="O623" s="7">
        <f>TEXT(D623, "dddd")</f>
        <v/>
      </c>
      <c r="P623" s="7">
        <f>"Q"&amp;ROUNDUP(MONTH(D623)/3, 0)</f>
        <v/>
      </c>
    </row>
    <row r="624">
      <c r="A624" s="4" t="inlineStr">
        <is>
          <t>TXN100627</t>
        </is>
      </c>
      <c r="B624" s="4" t="inlineStr">
        <is>
          <t>CUST0627</t>
        </is>
      </c>
      <c r="C624" s="4" t="inlineStr">
        <is>
          <t>2026-06-01 00:46:00</t>
        </is>
      </c>
      <c r="D624" s="4">
        <f>TEXT(LEFT(C624,10),"YYYY-MM-DD")</f>
        <v/>
      </c>
      <c r="E624" s="5">
        <f>HOUR(C624)</f>
        <v/>
      </c>
      <c r="F624" s="4" t="inlineStr">
        <is>
          <t>Male</t>
        </is>
      </c>
      <c r="G624" s="5" t="n">
        <v>38</v>
      </c>
      <c r="H624" s="4">
        <f>IF(G624&gt;=60, "Boomer", IF(G624&gt;=45, "Gen X", IF(G624&gt;=25, "Millennial", "Gen Z")))</f>
        <v/>
      </c>
      <c r="I624" s="4" t="inlineStr">
        <is>
          <t>Investment</t>
        </is>
      </c>
      <c r="J624" s="4" t="inlineStr">
        <is>
          <t>Groceries</t>
        </is>
      </c>
      <c r="K624" s="6" t="n">
        <v>4145.7</v>
      </c>
      <c r="L624" s="6" t="n">
        <v>49673.89</v>
      </c>
      <c r="M624" s="4" t="inlineStr">
        <is>
          <t>Branch Office</t>
        </is>
      </c>
      <c r="N624" s="4" t="inlineStr">
        <is>
          <t>N</t>
        </is>
      </c>
      <c r="O624" s="4">
        <f>TEXT(D624, "dddd")</f>
        <v/>
      </c>
      <c r="P624" s="4">
        <f>"Q"&amp;ROUNDUP(MONTH(D624)/3, 0)</f>
        <v/>
      </c>
    </row>
    <row r="625">
      <c r="A625" s="7" t="inlineStr">
        <is>
          <t>TXN100628</t>
        </is>
      </c>
      <c r="B625" s="7" t="inlineStr">
        <is>
          <t>CUST0628</t>
        </is>
      </c>
      <c r="C625" s="7" t="inlineStr">
        <is>
          <t>2026-06-01 00:19:00</t>
        </is>
      </c>
      <c r="D625" s="7">
        <f>TEXT(LEFT(C625,10),"YYYY-MM-DD")</f>
        <v/>
      </c>
      <c r="E625" s="8">
        <f>HOUR(C625)</f>
        <v/>
      </c>
      <c r="F625" s="7" t="inlineStr">
        <is>
          <t>Female</t>
        </is>
      </c>
      <c r="G625" s="8" t="n">
        <v>33</v>
      </c>
      <c r="H625" s="7">
        <f>IF(G625&gt;=60, "Boomer", IF(G625&gt;=45, "Gen X", IF(G625&gt;=25, "Millennial", "Gen Z")))</f>
        <v/>
      </c>
      <c r="I625" s="7" t="inlineStr">
        <is>
          <t>Checking</t>
        </is>
      </c>
      <c r="J625" s="7" t="inlineStr">
        <is>
          <t>Groceries</t>
        </is>
      </c>
      <c r="K625" s="9" t="n">
        <v>6174.47</v>
      </c>
      <c r="L625" s="9" t="n">
        <v>47195.72</v>
      </c>
      <c r="M625" s="7" t="inlineStr">
        <is>
          <t>Branch Office</t>
        </is>
      </c>
      <c r="N625" s="7" t="inlineStr">
        <is>
          <t>N</t>
        </is>
      </c>
      <c r="O625" s="7">
        <f>TEXT(D625, "dddd")</f>
        <v/>
      </c>
      <c r="P625" s="7">
        <f>"Q"&amp;ROUNDUP(MONTH(D625)/3, 0)</f>
        <v/>
      </c>
    </row>
    <row r="626">
      <c r="A626" s="4" t="inlineStr">
        <is>
          <t>TXN100629</t>
        </is>
      </c>
      <c r="B626" s="4" t="inlineStr">
        <is>
          <t>CUST0629</t>
        </is>
      </c>
      <c r="C626" s="4" t="inlineStr">
        <is>
          <t>2026-06-01 17:32:00</t>
        </is>
      </c>
      <c r="D626" s="4">
        <f>TEXT(LEFT(C626,10),"YYYY-MM-DD")</f>
        <v/>
      </c>
      <c r="E626" s="5">
        <f>HOUR(C626)</f>
        <v/>
      </c>
      <c r="F626" s="4" t="inlineStr">
        <is>
          <t>Male</t>
        </is>
      </c>
      <c r="G626" s="5" t="n">
        <v>26</v>
      </c>
      <c r="H626" s="4">
        <f>IF(G626&gt;=60, "Boomer", IF(G626&gt;=45, "Gen X", IF(G626&gt;=25, "Millennial", "Gen Z")))</f>
        <v/>
      </c>
      <c r="I626" s="4" t="inlineStr">
        <is>
          <t>Savings</t>
        </is>
      </c>
      <c r="J626" s="4" t="inlineStr">
        <is>
          <t>Utilities</t>
        </is>
      </c>
      <c r="K626" s="6" t="n">
        <v>2851.69</v>
      </c>
      <c r="L626" s="6" t="n">
        <v>7351.21</v>
      </c>
      <c r="M626" s="4" t="inlineStr">
        <is>
          <t>Branch Office</t>
        </is>
      </c>
      <c r="N626" s="4" t="inlineStr">
        <is>
          <t>N</t>
        </is>
      </c>
      <c r="O626" s="4">
        <f>TEXT(D626, "dddd")</f>
        <v/>
      </c>
      <c r="P626" s="4">
        <f>"Q"&amp;ROUNDUP(MONTH(D626)/3, 0)</f>
        <v/>
      </c>
    </row>
    <row r="627">
      <c r="A627" s="7" t="inlineStr">
        <is>
          <t>TXN100630</t>
        </is>
      </c>
      <c r="B627" s="7" t="inlineStr">
        <is>
          <t>CUST0630</t>
        </is>
      </c>
      <c r="C627" s="7" t="inlineStr">
        <is>
          <t>2026-06-01 18:15:00</t>
        </is>
      </c>
      <c r="D627" s="7">
        <f>TEXT(LEFT(C627,10),"YYYY-MM-DD")</f>
        <v/>
      </c>
      <c r="E627" s="8">
        <f>HOUR(C627)</f>
        <v/>
      </c>
      <c r="F627" s="7" t="inlineStr">
        <is>
          <t>Female</t>
        </is>
      </c>
      <c r="G627" s="8" t="n">
        <v>36</v>
      </c>
      <c r="H627" s="7">
        <f>IF(G627&gt;=60, "Boomer", IF(G627&gt;=45, "Gen X", IF(G627&gt;=25, "Millennial", "Gen Z")))</f>
        <v/>
      </c>
      <c r="I627" s="7" t="inlineStr">
        <is>
          <t>Checking</t>
        </is>
      </c>
      <c r="J627" s="7" t="inlineStr">
        <is>
          <t>Groceries</t>
        </is>
      </c>
      <c r="K627" s="9" t="n">
        <v>4568.19</v>
      </c>
      <c r="L627" s="9" t="n">
        <v>28668.71</v>
      </c>
      <c r="M627" s="7" t="inlineStr">
        <is>
          <t>Online Banking</t>
        </is>
      </c>
      <c r="N627" s="7" t="inlineStr">
        <is>
          <t>N</t>
        </is>
      </c>
      <c r="O627" s="7">
        <f>TEXT(D627, "dddd")</f>
        <v/>
      </c>
      <c r="P627" s="7">
        <f>"Q"&amp;ROUNDUP(MONTH(D627)/3, 0)</f>
        <v/>
      </c>
    </row>
    <row r="628">
      <c r="A628" s="4" t="inlineStr">
        <is>
          <t>TXN100631</t>
        </is>
      </c>
      <c r="B628" s="4" t="inlineStr">
        <is>
          <t>CUST0631</t>
        </is>
      </c>
      <c r="C628" s="4" t="inlineStr">
        <is>
          <t>2026-06-01 23:04:00</t>
        </is>
      </c>
      <c r="D628" s="4">
        <f>TEXT(LEFT(C628,10),"YYYY-MM-DD")</f>
        <v/>
      </c>
      <c r="E628" s="5">
        <f>HOUR(C628)</f>
        <v/>
      </c>
      <c r="F628" s="4" t="inlineStr">
        <is>
          <t>Female</t>
        </is>
      </c>
      <c r="G628" s="5" t="n">
        <v>70</v>
      </c>
      <c r="H628" s="4">
        <f>IF(G628&gt;=60, "Boomer", IF(G628&gt;=45, "Gen X", IF(G628&gt;=25, "Millennial", "Gen Z")))</f>
        <v/>
      </c>
      <c r="I628" s="4" t="inlineStr">
        <is>
          <t>Checking</t>
        </is>
      </c>
      <c r="J628" s="4" t="inlineStr">
        <is>
          <t>Groceries</t>
        </is>
      </c>
      <c r="K628" s="6" t="n">
        <v>3911.33</v>
      </c>
      <c r="L628" s="6" t="n">
        <v>45001.69</v>
      </c>
      <c r="M628" s="4" t="inlineStr">
        <is>
          <t>Mobile App</t>
        </is>
      </c>
      <c r="N628" s="4" t="inlineStr">
        <is>
          <t>N</t>
        </is>
      </c>
      <c r="O628" s="4">
        <f>TEXT(D628, "dddd")</f>
        <v/>
      </c>
      <c r="P628" s="4">
        <f>"Q"&amp;ROUNDUP(MONTH(D628)/3, 0)</f>
        <v/>
      </c>
    </row>
    <row r="629">
      <c r="A629" s="7" t="inlineStr">
        <is>
          <t>TXN100632</t>
        </is>
      </c>
      <c r="B629" s="7" t="inlineStr">
        <is>
          <t>CUST0632</t>
        </is>
      </c>
      <c r="C629" s="7" t="inlineStr">
        <is>
          <t>2026-06-01 19:41:00</t>
        </is>
      </c>
      <c r="D629" s="7">
        <f>TEXT(LEFT(C629,10),"YYYY-MM-DD")</f>
        <v/>
      </c>
      <c r="E629" s="8">
        <f>HOUR(C629)</f>
        <v/>
      </c>
      <c r="F629" s="7" t="inlineStr">
        <is>
          <t>Female</t>
        </is>
      </c>
      <c r="G629" s="8" t="n">
        <v>22</v>
      </c>
      <c r="H629" s="7">
        <f>IF(G629&gt;=60, "Boomer", IF(G629&gt;=45, "Gen X", IF(G629&gt;=25, "Millennial", "Gen Z")))</f>
        <v/>
      </c>
      <c r="I629" s="7" t="inlineStr">
        <is>
          <t>Investment</t>
        </is>
      </c>
      <c r="J629" s="7" t="inlineStr">
        <is>
          <t>Travel</t>
        </is>
      </c>
      <c r="K629" s="9" t="n">
        <v>3058.55</v>
      </c>
      <c r="L629" s="9" t="n">
        <v>39116.03</v>
      </c>
      <c r="M629" s="7" t="inlineStr">
        <is>
          <t>Branch Office</t>
        </is>
      </c>
      <c r="N629" s="7" t="inlineStr">
        <is>
          <t>N</t>
        </is>
      </c>
      <c r="O629" s="7">
        <f>TEXT(D629, "dddd")</f>
        <v/>
      </c>
      <c r="P629" s="7">
        <f>"Q"&amp;ROUNDUP(MONTH(D629)/3, 0)</f>
        <v/>
      </c>
    </row>
    <row r="630">
      <c r="A630" s="4" t="inlineStr">
        <is>
          <t>TXN100633</t>
        </is>
      </c>
      <c r="B630" s="4" t="inlineStr">
        <is>
          <t>CUST0633</t>
        </is>
      </c>
      <c r="C630" s="4" t="inlineStr">
        <is>
          <t>2026-06-01 11:56:00</t>
        </is>
      </c>
      <c r="D630" s="4">
        <f>TEXT(LEFT(C630,10),"YYYY-MM-DD")</f>
        <v/>
      </c>
      <c r="E630" s="5">
        <f>HOUR(C630)</f>
        <v/>
      </c>
      <c r="F630" s="4" t="inlineStr">
        <is>
          <t>Unspecified</t>
        </is>
      </c>
      <c r="G630" s="5" t="n">
        <v>46</v>
      </c>
      <c r="H630" s="4">
        <f>IF(G630&gt;=60, "Boomer", IF(G630&gt;=45, "Gen X", IF(G630&gt;=25, "Millennial", "Gen Z")))</f>
        <v/>
      </c>
      <c r="I630" s="4" t="inlineStr">
        <is>
          <t>Savings</t>
        </is>
      </c>
      <c r="J630" s="4" t="inlineStr">
        <is>
          <t>Groceries</t>
        </is>
      </c>
      <c r="K630" s="6" t="n">
        <v>5983.95</v>
      </c>
      <c r="L630" s="6" t="n">
        <v>42549.17</v>
      </c>
      <c r="M630" s="4" t="inlineStr">
        <is>
          <t>Mobile App</t>
        </is>
      </c>
      <c r="N630" s="4" t="inlineStr">
        <is>
          <t>N</t>
        </is>
      </c>
      <c r="O630" s="4">
        <f>TEXT(D630, "dddd")</f>
        <v/>
      </c>
      <c r="P630" s="4">
        <f>"Q"&amp;ROUNDUP(MONTH(D630)/3, 0)</f>
        <v/>
      </c>
    </row>
    <row r="631">
      <c r="A631" s="7" t="inlineStr">
        <is>
          <t>TXN100634</t>
        </is>
      </c>
      <c r="B631" s="7" t="inlineStr">
        <is>
          <t>CUST0634</t>
        </is>
      </c>
      <c r="C631" s="7" t="inlineStr">
        <is>
          <t>2026-06-01 20:49:00</t>
        </is>
      </c>
      <c r="D631" s="7">
        <f>TEXT(LEFT(C631,10),"YYYY-MM-DD")</f>
        <v/>
      </c>
      <c r="E631" s="8">
        <f>HOUR(C631)</f>
        <v/>
      </c>
      <c r="F631" s="7" t="inlineStr">
        <is>
          <t>Unspecified</t>
        </is>
      </c>
      <c r="G631" s="8" t="n">
        <v>23</v>
      </c>
      <c r="H631" s="7">
        <f>IF(G631&gt;=60, "Boomer", IF(G631&gt;=45, "Gen X", IF(G631&gt;=25, "Millennial", "Gen Z")))</f>
        <v/>
      </c>
      <c r="I631" s="7" t="inlineStr">
        <is>
          <t>Checking</t>
        </is>
      </c>
      <c r="J631" s="7" t="inlineStr">
        <is>
          <t>Travel</t>
        </is>
      </c>
      <c r="K631" s="9" t="n">
        <v>339.05</v>
      </c>
      <c r="L631" s="9" t="n">
        <v>27226.52</v>
      </c>
      <c r="M631" s="7" t="inlineStr">
        <is>
          <t>Online Banking</t>
        </is>
      </c>
      <c r="N631" s="7" t="inlineStr">
        <is>
          <t>N</t>
        </is>
      </c>
      <c r="O631" s="7">
        <f>TEXT(D631, "dddd")</f>
        <v/>
      </c>
      <c r="P631" s="7">
        <f>"Q"&amp;ROUNDUP(MONTH(D631)/3, 0)</f>
        <v/>
      </c>
    </row>
    <row r="632">
      <c r="A632" s="4" t="inlineStr">
        <is>
          <t>TXN100635</t>
        </is>
      </c>
      <c r="B632" s="4" t="inlineStr">
        <is>
          <t>CUST0635</t>
        </is>
      </c>
      <c r="C632" s="4" t="inlineStr">
        <is>
          <t>2026-06-01 10:32:00</t>
        </is>
      </c>
      <c r="D632" s="4">
        <f>TEXT(LEFT(C632,10),"YYYY-MM-DD")</f>
        <v/>
      </c>
      <c r="E632" s="5">
        <f>HOUR(C632)</f>
        <v/>
      </c>
      <c r="F632" s="4" t="inlineStr">
        <is>
          <t>Female</t>
        </is>
      </c>
      <c r="G632" s="5" t="n">
        <v>29</v>
      </c>
      <c r="H632" s="4">
        <f>IF(G632&gt;=60, "Boomer", IF(G632&gt;=45, "Gen X", IF(G632&gt;=25, "Millennial", "Gen Z")))</f>
        <v/>
      </c>
      <c r="I632" s="4" t="inlineStr">
        <is>
          <t>Savings</t>
        </is>
      </c>
      <c r="J632" s="4" t="inlineStr">
        <is>
          <t>Utilities</t>
        </is>
      </c>
      <c r="K632" s="6" t="n">
        <v>7768.61</v>
      </c>
      <c r="L632" s="6" t="n">
        <v>37765.59</v>
      </c>
      <c r="M632" s="4" t="inlineStr">
        <is>
          <t>Mobile App</t>
        </is>
      </c>
      <c r="N632" s="4" t="inlineStr">
        <is>
          <t>N</t>
        </is>
      </c>
      <c r="O632" s="4">
        <f>TEXT(D632, "dddd")</f>
        <v/>
      </c>
      <c r="P632" s="4">
        <f>"Q"&amp;ROUNDUP(MONTH(D632)/3, 0)</f>
        <v/>
      </c>
    </row>
    <row r="633">
      <c r="A633" s="7" t="inlineStr">
        <is>
          <t>TXN100636</t>
        </is>
      </c>
      <c r="B633" s="7" t="inlineStr">
        <is>
          <t>CUST0636</t>
        </is>
      </c>
      <c r="C633" s="7" t="inlineStr">
        <is>
          <t>2026-06-01 09:50:00</t>
        </is>
      </c>
      <c r="D633" s="7">
        <f>TEXT(LEFT(C633,10),"YYYY-MM-DD")</f>
        <v/>
      </c>
      <c r="E633" s="8">
        <f>HOUR(C633)</f>
        <v/>
      </c>
      <c r="F633" s="7" t="inlineStr">
        <is>
          <t>Unspecified</t>
        </is>
      </c>
      <c r="G633" s="8" t="n">
        <v>29</v>
      </c>
      <c r="H633" s="7">
        <f>IF(G633&gt;=60, "Boomer", IF(G633&gt;=45, "Gen X", IF(G633&gt;=25, "Millennial", "Gen Z")))</f>
        <v/>
      </c>
      <c r="I633" s="7" t="inlineStr">
        <is>
          <t>Savings</t>
        </is>
      </c>
      <c r="J633" s="7" t="inlineStr">
        <is>
          <t>Entertainment</t>
        </is>
      </c>
      <c r="K633" s="9" t="n">
        <v>669.54</v>
      </c>
      <c r="L633" s="9" t="n">
        <v>28786.31</v>
      </c>
      <c r="M633" s="7" t="inlineStr">
        <is>
          <t>Mobile App</t>
        </is>
      </c>
      <c r="N633" s="7" t="inlineStr">
        <is>
          <t>N</t>
        </is>
      </c>
      <c r="O633" s="7">
        <f>TEXT(D633, "dddd")</f>
        <v/>
      </c>
      <c r="P633" s="7">
        <f>"Q"&amp;ROUNDUP(MONTH(D633)/3, 0)</f>
        <v/>
      </c>
    </row>
    <row r="634">
      <c r="A634" s="4" t="inlineStr">
        <is>
          <t>TXN100637</t>
        </is>
      </c>
      <c r="B634" s="4" t="inlineStr">
        <is>
          <t>CUST0637</t>
        </is>
      </c>
      <c r="C634" s="4" t="inlineStr">
        <is>
          <t>2026-06-01 17:25:00</t>
        </is>
      </c>
      <c r="D634" s="4">
        <f>TEXT(LEFT(C634,10),"YYYY-MM-DD")</f>
        <v/>
      </c>
      <c r="E634" s="5">
        <f>HOUR(C634)</f>
        <v/>
      </c>
      <c r="F634" s="4" t="inlineStr">
        <is>
          <t>Female</t>
        </is>
      </c>
      <c r="G634" s="5" t="n">
        <v>25</v>
      </c>
      <c r="H634" s="4">
        <f>IF(G634&gt;=60, "Boomer", IF(G634&gt;=45, "Gen X", IF(G634&gt;=25, "Millennial", "Gen Z")))</f>
        <v/>
      </c>
      <c r="I634" s="4" t="inlineStr">
        <is>
          <t>Checking</t>
        </is>
      </c>
      <c r="J634" s="4" t="inlineStr">
        <is>
          <t>Travel</t>
        </is>
      </c>
      <c r="K634" s="6" t="n">
        <v>3481.58</v>
      </c>
      <c r="L634" s="6" t="n">
        <v>35044.59</v>
      </c>
      <c r="M634" s="4" t="inlineStr">
        <is>
          <t>Online Banking</t>
        </is>
      </c>
      <c r="N634" s="4" t="inlineStr">
        <is>
          <t>N</t>
        </is>
      </c>
      <c r="O634" s="4">
        <f>TEXT(D634, "dddd")</f>
        <v/>
      </c>
      <c r="P634" s="4">
        <f>"Q"&amp;ROUNDUP(MONTH(D634)/3, 0)</f>
        <v/>
      </c>
    </row>
    <row r="635">
      <c r="A635" s="7" t="inlineStr">
        <is>
          <t>TXN100638</t>
        </is>
      </c>
      <c r="B635" s="7" t="inlineStr">
        <is>
          <t>CUST0638</t>
        </is>
      </c>
      <c r="C635" s="7" t="inlineStr">
        <is>
          <t>2026-06-01 15:35:00</t>
        </is>
      </c>
      <c r="D635" s="7">
        <f>TEXT(LEFT(C635,10),"YYYY-MM-DD")</f>
        <v/>
      </c>
      <c r="E635" s="8">
        <f>HOUR(C635)</f>
        <v/>
      </c>
      <c r="F635" s="7" t="inlineStr">
        <is>
          <t>Female</t>
        </is>
      </c>
      <c r="G635" s="8" t="n">
        <v>51</v>
      </c>
      <c r="H635" s="7">
        <f>IF(G635&gt;=60, "Boomer", IF(G635&gt;=45, "Gen X", IF(G635&gt;=25, "Millennial", "Gen Z")))</f>
        <v/>
      </c>
      <c r="I635" s="7" t="inlineStr">
        <is>
          <t>Checking</t>
        </is>
      </c>
      <c r="J635" s="7" t="inlineStr">
        <is>
          <t>Travel</t>
        </is>
      </c>
      <c r="K635" s="9" t="n">
        <v>1576.83</v>
      </c>
      <c r="L635" s="9" t="n">
        <v>30991.84</v>
      </c>
      <c r="M635" s="7" t="inlineStr">
        <is>
          <t>Online Banking</t>
        </is>
      </c>
      <c r="N635" s="7" t="inlineStr">
        <is>
          <t>N</t>
        </is>
      </c>
      <c r="O635" s="7">
        <f>TEXT(D635, "dddd")</f>
        <v/>
      </c>
      <c r="P635" s="7">
        <f>"Q"&amp;ROUNDUP(MONTH(D635)/3, 0)</f>
        <v/>
      </c>
    </row>
    <row r="636">
      <c r="A636" s="4" t="inlineStr">
        <is>
          <t>TXN100639</t>
        </is>
      </c>
      <c r="B636" s="4" t="inlineStr">
        <is>
          <t>CUST0639</t>
        </is>
      </c>
      <c r="C636" s="4" t="inlineStr">
        <is>
          <t>2026-06-01 07:04:00</t>
        </is>
      </c>
      <c r="D636" s="4">
        <f>TEXT(LEFT(C636,10),"YYYY-MM-DD")</f>
        <v/>
      </c>
      <c r="E636" s="5">
        <f>HOUR(C636)</f>
        <v/>
      </c>
      <c r="F636" s="4" t="inlineStr">
        <is>
          <t>Female</t>
        </is>
      </c>
      <c r="G636" s="5" t="n">
        <v>69</v>
      </c>
      <c r="H636" s="4">
        <f>IF(G636&gt;=60, "Boomer", IF(G636&gt;=45, "Gen X", IF(G636&gt;=25, "Millennial", "Gen Z")))</f>
        <v/>
      </c>
      <c r="I636" s="4" t="inlineStr">
        <is>
          <t>Checking</t>
        </is>
      </c>
      <c r="J636" s="4" t="inlineStr">
        <is>
          <t>Entertainment</t>
        </is>
      </c>
      <c r="K636" s="6" t="n">
        <v>5481.06</v>
      </c>
      <c r="L636" s="6" t="n">
        <v>29012.9</v>
      </c>
      <c r="M636" s="4" t="inlineStr">
        <is>
          <t>Mobile App</t>
        </is>
      </c>
      <c r="N636" s="4" t="inlineStr">
        <is>
          <t>N</t>
        </is>
      </c>
      <c r="O636" s="4">
        <f>TEXT(D636, "dddd")</f>
        <v/>
      </c>
      <c r="P636" s="4">
        <f>"Q"&amp;ROUNDUP(MONTH(D636)/3, 0)</f>
        <v/>
      </c>
    </row>
    <row r="637">
      <c r="A637" s="7" t="inlineStr">
        <is>
          <t>TXN100640</t>
        </is>
      </c>
      <c r="B637" s="7" t="inlineStr">
        <is>
          <t>CUST0640</t>
        </is>
      </c>
      <c r="C637" s="7" t="inlineStr">
        <is>
          <t>2026-06-01 21:26:00</t>
        </is>
      </c>
      <c r="D637" s="7">
        <f>TEXT(LEFT(C637,10),"YYYY-MM-DD")</f>
        <v/>
      </c>
      <c r="E637" s="8">
        <f>HOUR(C637)</f>
        <v/>
      </c>
      <c r="F637" s="7" t="inlineStr">
        <is>
          <t>Unspecified</t>
        </is>
      </c>
      <c r="G637" s="8" t="n">
        <v>43</v>
      </c>
      <c r="H637" s="7">
        <f>IF(G637&gt;=60, "Boomer", IF(G637&gt;=45, "Gen X", IF(G637&gt;=25, "Millennial", "Gen Z")))</f>
        <v/>
      </c>
      <c r="I637" s="7" t="inlineStr">
        <is>
          <t>Checking</t>
        </is>
      </c>
      <c r="J637" s="7" t="inlineStr">
        <is>
          <t>Groceries</t>
        </is>
      </c>
      <c r="K637" s="9" t="n">
        <v>2572.7</v>
      </c>
      <c r="L637" s="9" t="n">
        <v>29896.92</v>
      </c>
      <c r="M637" s="7" t="inlineStr">
        <is>
          <t>Mobile App</t>
        </is>
      </c>
      <c r="N637" s="7" t="inlineStr">
        <is>
          <t>N</t>
        </is>
      </c>
      <c r="O637" s="7">
        <f>TEXT(D637, "dddd")</f>
        <v/>
      </c>
      <c r="P637" s="7">
        <f>"Q"&amp;ROUNDUP(MONTH(D637)/3, 0)</f>
        <v/>
      </c>
    </row>
    <row r="638">
      <c r="A638" s="4" t="inlineStr">
        <is>
          <t>TXN100641</t>
        </is>
      </c>
      <c r="B638" s="4" t="inlineStr">
        <is>
          <t>CUST0641</t>
        </is>
      </c>
      <c r="C638" s="4" t="inlineStr">
        <is>
          <t>2026-06-01 09:10:00</t>
        </is>
      </c>
      <c r="D638" s="4">
        <f>TEXT(LEFT(C638,10),"YYYY-MM-DD")</f>
        <v/>
      </c>
      <c r="E638" s="5">
        <f>HOUR(C638)</f>
        <v/>
      </c>
      <c r="F638" s="4" t="inlineStr">
        <is>
          <t>Female</t>
        </is>
      </c>
      <c r="G638" s="5" t="n">
        <v>59</v>
      </c>
      <c r="H638" s="4">
        <f>IF(G638&gt;=60, "Boomer", IF(G638&gt;=45, "Gen X", IF(G638&gt;=25, "Millennial", "Gen Z")))</f>
        <v/>
      </c>
      <c r="I638" s="4" t="inlineStr">
        <is>
          <t>Checking</t>
        </is>
      </c>
      <c r="J638" s="4" t="inlineStr">
        <is>
          <t>Travel</t>
        </is>
      </c>
      <c r="K638" s="6" t="n">
        <v>1175.09</v>
      </c>
      <c r="L638" s="6" t="n">
        <v>2721.44</v>
      </c>
      <c r="M638" s="4" t="inlineStr">
        <is>
          <t>Online Banking</t>
        </is>
      </c>
      <c r="N638" s="4" t="inlineStr">
        <is>
          <t>N</t>
        </is>
      </c>
      <c r="O638" s="4">
        <f>TEXT(D638, "dddd")</f>
        <v/>
      </c>
      <c r="P638" s="4">
        <f>"Q"&amp;ROUNDUP(MONTH(D638)/3, 0)</f>
        <v/>
      </c>
    </row>
    <row r="639">
      <c r="A639" s="7" t="inlineStr">
        <is>
          <t>TXN100642</t>
        </is>
      </c>
      <c r="B639" s="7" t="inlineStr">
        <is>
          <t>CUST0642</t>
        </is>
      </c>
      <c r="C639" s="7" t="inlineStr">
        <is>
          <t>2026-06-01 06:43:00</t>
        </is>
      </c>
      <c r="D639" s="7">
        <f>TEXT(LEFT(C639,10),"YYYY-MM-DD")</f>
        <v/>
      </c>
      <c r="E639" s="8">
        <f>HOUR(C639)</f>
        <v/>
      </c>
      <c r="F639" s="7" t="inlineStr">
        <is>
          <t>Female</t>
        </is>
      </c>
      <c r="G639" s="8" t="n">
        <v>29</v>
      </c>
      <c r="H639" s="7">
        <f>IF(G639&gt;=60, "Boomer", IF(G639&gt;=45, "Gen X", IF(G639&gt;=25, "Millennial", "Gen Z")))</f>
        <v/>
      </c>
      <c r="I639" s="7" t="inlineStr">
        <is>
          <t>Investment</t>
        </is>
      </c>
      <c r="J639" s="7" t="inlineStr">
        <is>
          <t>Groceries</t>
        </is>
      </c>
      <c r="K639" s="9" t="n">
        <v>907.85</v>
      </c>
      <c r="L639" s="9" t="n">
        <v>3199.63</v>
      </c>
      <c r="M639" s="7" t="inlineStr">
        <is>
          <t>Online Banking</t>
        </is>
      </c>
      <c r="N639" s="7" t="inlineStr">
        <is>
          <t>N</t>
        </is>
      </c>
      <c r="O639" s="7">
        <f>TEXT(D639, "dddd")</f>
        <v/>
      </c>
      <c r="P639" s="7">
        <f>"Q"&amp;ROUNDUP(MONTH(D639)/3, 0)</f>
        <v/>
      </c>
    </row>
    <row r="640">
      <c r="A640" s="4" t="inlineStr">
        <is>
          <t>TXN100643</t>
        </is>
      </c>
      <c r="B640" s="4" t="inlineStr">
        <is>
          <t>CUST0643</t>
        </is>
      </c>
      <c r="C640" s="4" t="inlineStr">
        <is>
          <t>2026-06-01 09:00:00</t>
        </is>
      </c>
      <c r="D640" s="4">
        <f>TEXT(LEFT(C640,10),"YYYY-MM-DD")</f>
        <v/>
      </c>
      <c r="E640" s="5">
        <f>HOUR(C640)</f>
        <v/>
      </c>
      <c r="F640" s="4" t="inlineStr">
        <is>
          <t>Female</t>
        </is>
      </c>
      <c r="G640" s="5" t="n">
        <v>64</v>
      </c>
      <c r="H640" s="4">
        <f>IF(G640&gt;=60, "Boomer", IF(G640&gt;=45, "Gen X", IF(G640&gt;=25, "Millennial", "Gen Z")))</f>
        <v/>
      </c>
      <c r="I640" s="4" t="inlineStr">
        <is>
          <t>Savings</t>
        </is>
      </c>
      <c r="J640" s="4" t="inlineStr">
        <is>
          <t>Entertainment</t>
        </is>
      </c>
      <c r="K640" s="6" t="n">
        <v>3605.99</v>
      </c>
      <c r="L640" s="6" t="n">
        <v>1626.03</v>
      </c>
      <c r="M640" s="4" t="inlineStr">
        <is>
          <t>Online Banking</t>
        </is>
      </c>
      <c r="N640" s="4" t="inlineStr">
        <is>
          <t>N</t>
        </is>
      </c>
      <c r="O640" s="4">
        <f>TEXT(D640, "dddd")</f>
        <v/>
      </c>
      <c r="P640" s="4">
        <f>"Q"&amp;ROUNDUP(MONTH(D640)/3, 0)</f>
        <v/>
      </c>
    </row>
    <row r="641">
      <c r="A641" s="7" t="inlineStr">
        <is>
          <t>TXN100644</t>
        </is>
      </c>
      <c r="B641" s="7" t="inlineStr">
        <is>
          <t>CUST0644</t>
        </is>
      </c>
      <c r="C641" s="7" t="inlineStr">
        <is>
          <t>2026-06-01 23:34:00</t>
        </is>
      </c>
      <c r="D641" s="7">
        <f>TEXT(LEFT(C641,10),"YYYY-MM-DD")</f>
        <v/>
      </c>
      <c r="E641" s="8">
        <f>HOUR(C641)</f>
        <v/>
      </c>
      <c r="F641" s="7" t="inlineStr">
        <is>
          <t>Female</t>
        </is>
      </c>
      <c r="G641" s="8" t="n">
        <v>33</v>
      </c>
      <c r="H641" s="7">
        <f>IF(G641&gt;=60, "Boomer", IF(G641&gt;=45, "Gen X", IF(G641&gt;=25, "Millennial", "Gen Z")))</f>
        <v/>
      </c>
      <c r="I641" s="7" t="inlineStr">
        <is>
          <t>Investment</t>
        </is>
      </c>
      <c r="J641" s="7" t="inlineStr">
        <is>
          <t>Travel</t>
        </is>
      </c>
      <c r="K641" s="9" t="n">
        <v>6005.34</v>
      </c>
      <c r="L641" s="9" t="n">
        <v>27665.6</v>
      </c>
      <c r="M641" s="7" t="inlineStr">
        <is>
          <t>Online Banking</t>
        </is>
      </c>
      <c r="N641" s="7" t="inlineStr">
        <is>
          <t>N</t>
        </is>
      </c>
      <c r="O641" s="7">
        <f>TEXT(D641, "dddd")</f>
        <v/>
      </c>
      <c r="P641" s="7">
        <f>"Q"&amp;ROUNDUP(MONTH(D641)/3, 0)</f>
        <v/>
      </c>
    </row>
    <row r="642">
      <c r="A642" s="4" t="inlineStr">
        <is>
          <t>TXN100645</t>
        </is>
      </c>
      <c r="B642" s="4" t="inlineStr">
        <is>
          <t>CUST0645</t>
        </is>
      </c>
      <c r="C642" s="4" t="inlineStr">
        <is>
          <t>2026-06-01 22:44:00</t>
        </is>
      </c>
      <c r="D642" s="4">
        <f>TEXT(LEFT(C642,10),"YYYY-MM-DD")</f>
        <v/>
      </c>
      <c r="E642" s="5">
        <f>HOUR(C642)</f>
        <v/>
      </c>
      <c r="F642" s="4" t="inlineStr">
        <is>
          <t>Male</t>
        </is>
      </c>
      <c r="G642" s="5" t="n">
        <v>44</v>
      </c>
      <c r="H642" s="4">
        <f>IF(G642&gt;=60, "Boomer", IF(G642&gt;=45, "Gen X", IF(G642&gt;=25, "Millennial", "Gen Z")))</f>
        <v/>
      </c>
      <c r="I642" s="4" t="inlineStr">
        <is>
          <t>Investment</t>
        </is>
      </c>
      <c r="J642" s="4" t="inlineStr">
        <is>
          <t>Travel</t>
        </is>
      </c>
      <c r="K642" s="6" t="n">
        <v>357.42</v>
      </c>
      <c r="L642" s="6" t="n">
        <v>8930.82</v>
      </c>
      <c r="M642" s="4" t="inlineStr">
        <is>
          <t>Branch Office</t>
        </is>
      </c>
      <c r="N642" s="4" t="inlineStr">
        <is>
          <t>N</t>
        </is>
      </c>
      <c r="O642" s="4">
        <f>TEXT(D642, "dddd")</f>
        <v/>
      </c>
      <c r="P642" s="4">
        <f>"Q"&amp;ROUNDUP(MONTH(D642)/3, 0)</f>
        <v/>
      </c>
    </row>
    <row r="643">
      <c r="A643" s="7" t="inlineStr">
        <is>
          <t>TXN100646</t>
        </is>
      </c>
      <c r="B643" s="7" t="inlineStr">
        <is>
          <t>CUST0646</t>
        </is>
      </c>
      <c r="C643" s="7" t="inlineStr">
        <is>
          <t>2026-06-01 06:50:00</t>
        </is>
      </c>
      <c r="D643" s="7">
        <f>TEXT(LEFT(C643,10),"YYYY-MM-DD")</f>
        <v/>
      </c>
      <c r="E643" s="8">
        <f>HOUR(C643)</f>
        <v/>
      </c>
      <c r="F643" s="7" t="inlineStr">
        <is>
          <t>Female</t>
        </is>
      </c>
      <c r="G643" s="8" t="n">
        <v>23</v>
      </c>
      <c r="H643" s="7">
        <f>IF(G643&gt;=60, "Boomer", IF(G643&gt;=45, "Gen X", IF(G643&gt;=25, "Millennial", "Gen Z")))</f>
        <v/>
      </c>
      <c r="I643" s="7" t="inlineStr">
        <is>
          <t>Checking</t>
        </is>
      </c>
      <c r="J643" s="7" t="inlineStr">
        <is>
          <t>Groceries</t>
        </is>
      </c>
      <c r="K643" s="9" t="n">
        <v>542.12</v>
      </c>
      <c r="L643" s="9" t="n">
        <v>33188.45</v>
      </c>
      <c r="M643" s="7" t="inlineStr">
        <is>
          <t>Branch Office</t>
        </is>
      </c>
      <c r="N643" s="7" t="inlineStr">
        <is>
          <t>N</t>
        </is>
      </c>
      <c r="O643" s="7">
        <f>TEXT(D643, "dddd")</f>
        <v/>
      </c>
      <c r="P643" s="7">
        <f>"Q"&amp;ROUNDUP(MONTH(D643)/3, 0)</f>
        <v/>
      </c>
    </row>
    <row r="644">
      <c r="A644" s="4" t="inlineStr">
        <is>
          <t>TXN100647</t>
        </is>
      </c>
      <c r="B644" s="4" t="inlineStr">
        <is>
          <t>CUST0647</t>
        </is>
      </c>
      <c r="C644" s="4" t="inlineStr">
        <is>
          <t>2026-06-01 03:01:00</t>
        </is>
      </c>
      <c r="D644" s="4">
        <f>TEXT(LEFT(C644,10),"YYYY-MM-DD")</f>
        <v/>
      </c>
      <c r="E644" s="5">
        <f>HOUR(C644)</f>
        <v/>
      </c>
      <c r="F644" s="4" t="inlineStr">
        <is>
          <t>Female</t>
        </is>
      </c>
      <c r="G644" s="5" t="n">
        <v>75</v>
      </c>
      <c r="H644" s="4">
        <f>IF(G644&gt;=60, "Boomer", IF(G644&gt;=45, "Gen X", IF(G644&gt;=25, "Millennial", "Gen Z")))</f>
        <v/>
      </c>
      <c r="I644" s="4" t="inlineStr">
        <is>
          <t>Investment</t>
        </is>
      </c>
      <c r="J644" s="4" t="inlineStr">
        <is>
          <t>Utilities</t>
        </is>
      </c>
      <c r="K644" s="6" t="n">
        <v>1857.04</v>
      </c>
      <c r="L644" s="6" t="n">
        <v>19344.71</v>
      </c>
      <c r="M644" s="4" t="inlineStr">
        <is>
          <t>Mobile App</t>
        </is>
      </c>
      <c r="N644" s="4" t="inlineStr">
        <is>
          <t>N</t>
        </is>
      </c>
      <c r="O644" s="4">
        <f>TEXT(D644, "dddd")</f>
        <v/>
      </c>
      <c r="P644" s="4">
        <f>"Q"&amp;ROUNDUP(MONTH(D644)/3, 0)</f>
        <v/>
      </c>
    </row>
    <row r="645">
      <c r="A645" s="7" t="inlineStr">
        <is>
          <t>TXN100648</t>
        </is>
      </c>
      <c r="B645" s="7" t="inlineStr">
        <is>
          <t>CUST0648</t>
        </is>
      </c>
      <c r="C645" s="7" t="inlineStr">
        <is>
          <t>2026-06-01 10:31:00</t>
        </is>
      </c>
      <c r="D645" s="7">
        <f>TEXT(LEFT(C645,10),"YYYY-MM-DD")</f>
        <v/>
      </c>
      <c r="E645" s="8">
        <f>HOUR(C645)</f>
        <v/>
      </c>
      <c r="F645" s="7" t="inlineStr">
        <is>
          <t>Male</t>
        </is>
      </c>
      <c r="G645" s="8" t="n">
        <v>31</v>
      </c>
      <c r="H645" s="7">
        <f>IF(G645&gt;=60, "Boomer", IF(G645&gt;=45, "Gen X", IF(G645&gt;=25, "Millennial", "Gen Z")))</f>
        <v/>
      </c>
      <c r="I645" s="7" t="inlineStr">
        <is>
          <t>Savings</t>
        </is>
      </c>
      <c r="J645" s="7" t="inlineStr">
        <is>
          <t>Travel</t>
        </is>
      </c>
      <c r="K645" s="9" t="n">
        <v>7734.66</v>
      </c>
      <c r="L645" s="9" t="n">
        <v>28254.03</v>
      </c>
      <c r="M645" s="7" t="inlineStr">
        <is>
          <t>Mobile App</t>
        </is>
      </c>
      <c r="N645" s="7" t="inlineStr">
        <is>
          <t>N</t>
        </is>
      </c>
      <c r="O645" s="7">
        <f>TEXT(D645, "dddd")</f>
        <v/>
      </c>
      <c r="P645" s="7">
        <f>"Q"&amp;ROUNDUP(MONTH(D645)/3, 0)</f>
        <v/>
      </c>
    </row>
    <row r="646">
      <c r="A646" s="4" t="inlineStr">
        <is>
          <t>TXN100649</t>
        </is>
      </c>
      <c r="B646" s="4" t="inlineStr">
        <is>
          <t>CUST0649</t>
        </is>
      </c>
      <c r="C646" s="4" t="inlineStr">
        <is>
          <t>2026-06-01 16:19:00</t>
        </is>
      </c>
      <c r="D646" s="4">
        <f>TEXT(LEFT(C646,10),"YYYY-MM-DD")</f>
        <v/>
      </c>
      <c r="E646" s="5">
        <f>HOUR(C646)</f>
        <v/>
      </c>
      <c r="F646" s="4" t="inlineStr">
        <is>
          <t>Female</t>
        </is>
      </c>
      <c r="G646" s="5" t="n">
        <v>51</v>
      </c>
      <c r="H646" s="4">
        <f>IF(G646&gt;=60, "Boomer", IF(G646&gt;=45, "Gen X", IF(G646&gt;=25, "Millennial", "Gen Z")))</f>
        <v/>
      </c>
      <c r="I646" s="4" t="inlineStr">
        <is>
          <t>Checking</t>
        </is>
      </c>
      <c r="J646" s="4" t="inlineStr">
        <is>
          <t>Groceries</t>
        </is>
      </c>
      <c r="K646" s="6" t="n">
        <v>156.79</v>
      </c>
      <c r="L646" s="6" t="n">
        <v>34373.41</v>
      </c>
      <c r="M646" s="4" t="inlineStr">
        <is>
          <t>Branch Office</t>
        </is>
      </c>
      <c r="N646" s="4" t="inlineStr">
        <is>
          <t>N</t>
        </is>
      </c>
      <c r="O646" s="4">
        <f>TEXT(D646, "dddd")</f>
        <v/>
      </c>
      <c r="P646" s="4">
        <f>"Q"&amp;ROUNDUP(MONTH(D646)/3, 0)</f>
        <v/>
      </c>
    </row>
    <row r="647">
      <c r="A647" s="7" t="inlineStr">
        <is>
          <t>TXN100650</t>
        </is>
      </c>
      <c r="B647" s="7" t="inlineStr">
        <is>
          <t>CUST0650</t>
        </is>
      </c>
      <c r="C647" s="7" t="inlineStr">
        <is>
          <t>2026-06-01 20:19:00</t>
        </is>
      </c>
      <c r="D647" s="7">
        <f>TEXT(LEFT(C647,10),"YYYY-MM-DD")</f>
        <v/>
      </c>
      <c r="E647" s="8">
        <f>HOUR(C647)</f>
        <v/>
      </c>
      <c r="F647" s="7" t="inlineStr">
        <is>
          <t>Female</t>
        </is>
      </c>
      <c r="G647" s="8" t="n">
        <v>52</v>
      </c>
      <c r="H647" s="7">
        <f>IF(G647&gt;=60, "Boomer", IF(G647&gt;=45, "Gen X", IF(G647&gt;=25, "Millennial", "Gen Z")))</f>
        <v/>
      </c>
      <c r="I647" s="7" t="inlineStr">
        <is>
          <t>Checking</t>
        </is>
      </c>
      <c r="J647" s="7" t="inlineStr">
        <is>
          <t>Groceries</t>
        </is>
      </c>
      <c r="K647" s="9" t="n">
        <v>5010.08</v>
      </c>
      <c r="L647" s="9" t="n">
        <v>43994.53</v>
      </c>
      <c r="M647" s="7" t="inlineStr">
        <is>
          <t>Mobile App</t>
        </is>
      </c>
      <c r="N647" s="7" t="inlineStr">
        <is>
          <t>N</t>
        </is>
      </c>
      <c r="O647" s="7">
        <f>TEXT(D647, "dddd")</f>
        <v/>
      </c>
      <c r="P647" s="7">
        <f>"Q"&amp;ROUNDUP(MONTH(D647)/3, 0)</f>
        <v/>
      </c>
    </row>
    <row r="648">
      <c r="A648" s="4" t="inlineStr">
        <is>
          <t>TXN100651</t>
        </is>
      </c>
      <c r="B648" s="4" t="inlineStr">
        <is>
          <t>CUST0651</t>
        </is>
      </c>
      <c r="C648" s="4" t="inlineStr">
        <is>
          <t>2026-06-01 17:17:00</t>
        </is>
      </c>
      <c r="D648" s="4">
        <f>TEXT(LEFT(C648,10),"YYYY-MM-DD")</f>
        <v/>
      </c>
      <c r="E648" s="5">
        <f>HOUR(C648)</f>
        <v/>
      </c>
      <c r="F648" s="4" t="inlineStr">
        <is>
          <t>Female</t>
        </is>
      </c>
      <c r="G648" s="5" t="n">
        <v>29</v>
      </c>
      <c r="H648" s="4">
        <f>IF(G648&gt;=60, "Boomer", IF(G648&gt;=45, "Gen X", IF(G648&gt;=25, "Millennial", "Gen Z")))</f>
        <v/>
      </c>
      <c r="I648" s="4" t="inlineStr">
        <is>
          <t>Checking</t>
        </is>
      </c>
      <c r="J648" s="4" t="inlineStr">
        <is>
          <t>Utilities</t>
        </is>
      </c>
      <c r="K648" s="6" t="n">
        <v>5258.88</v>
      </c>
      <c r="L648" s="6" t="n">
        <v>4845.85</v>
      </c>
      <c r="M648" s="4" t="inlineStr">
        <is>
          <t>ATM</t>
        </is>
      </c>
      <c r="N648" s="4" t="inlineStr">
        <is>
          <t>N</t>
        </is>
      </c>
      <c r="O648" s="4">
        <f>TEXT(D648, "dddd")</f>
        <v/>
      </c>
      <c r="P648" s="4">
        <f>"Q"&amp;ROUNDUP(MONTH(D648)/3, 0)</f>
        <v/>
      </c>
    </row>
    <row r="649">
      <c r="A649" s="7" t="inlineStr">
        <is>
          <t>TXN100652</t>
        </is>
      </c>
      <c r="B649" s="7" t="inlineStr">
        <is>
          <t>CUST0652</t>
        </is>
      </c>
      <c r="C649" s="7" t="inlineStr">
        <is>
          <t>2026-06-01 16:43:00</t>
        </is>
      </c>
      <c r="D649" s="7">
        <f>TEXT(LEFT(C649,10),"YYYY-MM-DD")</f>
        <v/>
      </c>
      <c r="E649" s="8">
        <f>HOUR(C649)</f>
        <v/>
      </c>
      <c r="F649" s="7" t="inlineStr">
        <is>
          <t>Female</t>
        </is>
      </c>
      <c r="G649" s="8" t="n">
        <v>46</v>
      </c>
      <c r="H649" s="7">
        <f>IF(G649&gt;=60, "Boomer", IF(G649&gt;=45, "Gen X", IF(G649&gt;=25, "Millennial", "Gen Z")))</f>
        <v/>
      </c>
      <c r="I649" s="7" t="inlineStr">
        <is>
          <t>Savings</t>
        </is>
      </c>
      <c r="J649" s="7" t="inlineStr">
        <is>
          <t>Travel</t>
        </is>
      </c>
      <c r="K649" s="9" t="n">
        <v>1230.47</v>
      </c>
      <c r="L649" s="9" t="n">
        <v>48541.59</v>
      </c>
      <c r="M649" s="7" t="inlineStr">
        <is>
          <t>Branch Office</t>
        </is>
      </c>
      <c r="N649" s="7" t="inlineStr">
        <is>
          <t>N</t>
        </is>
      </c>
      <c r="O649" s="7">
        <f>TEXT(D649, "dddd")</f>
        <v/>
      </c>
      <c r="P649" s="7">
        <f>"Q"&amp;ROUNDUP(MONTH(D649)/3, 0)</f>
        <v/>
      </c>
    </row>
    <row r="650">
      <c r="A650" s="4" t="inlineStr">
        <is>
          <t>TXN100653</t>
        </is>
      </c>
      <c r="B650" s="4" t="inlineStr">
        <is>
          <t>CUST0653</t>
        </is>
      </c>
      <c r="C650" s="4" t="inlineStr">
        <is>
          <t>2026-06-01 14:34:00</t>
        </is>
      </c>
      <c r="D650" s="4">
        <f>TEXT(LEFT(C650,10),"YYYY-MM-DD")</f>
        <v/>
      </c>
      <c r="E650" s="5">
        <f>HOUR(C650)</f>
        <v/>
      </c>
      <c r="F650" s="4" t="inlineStr">
        <is>
          <t>Male</t>
        </is>
      </c>
      <c r="G650" s="5" t="n">
        <v>33</v>
      </c>
      <c r="H650" s="4">
        <f>IF(G650&gt;=60, "Boomer", IF(G650&gt;=45, "Gen X", IF(G650&gt;=25, "Millennial", "Gen Z")))</f>
        <v/>
      </c>
      <c r="I650" s="4" t="inlineStr">
        <is>
          <t>Investment</t>
        </is>
      </c>
      <c r="J650" s="4" t="inlineStr">
        <is>
          <t>Groceries</t>
        </is>
      </c>
      <c r="K650" s="6" t="n">
        <v>4652.44</v>
      </c>
      <c r="L650" s="6" t="n">
        <v>34360.41</v>
      </c>
      <c r="M650" s="4" t="inlineStr">
        <is>
          <t>Online Banking</t>
        </is>
      </c>
      <c r="N650" s="4" t="inlineStr">
        <is>
          <t>N</t>
        </is>
      </c>
      <c r="O650" s="4">
        <f>TEXT(D650, "dddd")</f>
        <v/>
      </c>
      <c r="P650" s="4">
        <f>"Q"&amp;ROUNDUP(MONTH(D650)/3, 0)</f>
        <v/>
      </c>
    </row>
    <row r="651">
      <c r="A651" s="7" t="inlineStr">
        <is>
          <t>TXN100654</t>
        </is>
      </c>
      <c r="B651" s="7" t="inlineStr">
        <is>
          <t>CUST0654</t>
        </is>
      </c>
      <c r="C651" s="7" t="inlineStr">
        <is>
          <t>2026-06-01 04:19:00</t>
        </is>
      </c>
      <c r="D651" s="7">
        <f>TEXT(LEFT(C651,10),"YYYY-MM-DD")</f>
        <v/>
      </c>
      <c r="E651" s="8">
        <f>HOUR(C651)</f>
        <v/>
      </c>
      <c r="F651" s="7" t="inlineStr">
        <is>
          <t>Male</t>
        </is>
      </c>
      <c r="G651" s="8" t="n">
        <v>47</v>
      </c>
      <c r="H651" s="7">
        <f>IF(G651&gt;=60, "Boomer", IF(G651&gt;=45, "Gen X", IF(G651&gt;=25, "Millennial", "Gen Z")))</f>
        <v/>
      </c>
      <c r="I651" s="7" t="inlineStr">
        <is>
          <t>Savings</t>
        </is>
      </c>
      <c r="J651" s="7" t="inlineStr">
        <is>
          <t>Travel</t>
        </is>
      </c>
      <c r="K651" s="9" t="n">
        <v>7337.73</v>
      </c>
      <c r="L651" s="9" t="n">
        <v>16216.06</v>
      </c>
      <c r="M651" s="7" t="inlineStr">
        <is>
          <t>Mobile App</t>
        </is>
      </c>
      <c r="N651" s="7" t="inlineStr">
        <is>
          <t>N</t>
        </is>
      </c>
      <c r="O651" s="7">
        <f>TEXT(D651, "dddd")</f>
        <v/>
      </c>
      <c r="P651" s="7">
        <f>"Q"&amp;ROUNDUP(MONTH(D651)/3, 0)</f>
        <v/>
      </c>
    </row>
    <row r="652">
      <c r="A652" s="4" t="inlineStr">
        <is>
          <t>TXN100655</t>
        </is>
      </c>
      <c r="B652" s="4" t="inlineStr">
        <is>
          <t>CUST0655</t>
        </is>
      </c>
      <c r="C652" s="4" t="inlineStr">
        <is>
          <t>2026-06-01 04:46:00</t>
        </is>
      </c>
      <c r="D652" s="4">
        <f>TEXT(LEFT(C652,10),"YYYY-MM-DD")</f>
        <v/>
      </c>
      <c r="E652" s="5">
        <f>HOUR(C652)</f>
        <v/>
      </c>
      <c r="F652" s="4" t="inlineStr">
        <is>
          <t>Male</t>
        </is>
      </c>
      <c r="G652" s="5" t="n">
        <v>68</v>
      </c>
      <c r="H652" s="4">
        <f>IF(G652&gt;=60, "Boomer", IF(G652&gt;=45, "Gen X", IF(G652&gt;=25, "Millennial", "Gen Z")))</f>
        <v/>
      </c>
      <c r="I652" s="4" t="inlineStr">
        <is>
          <t>Checking</t>
        </is>
      </c>
      <c r="J652" s="4" t="inlineStr">
        <is>
          <t>Utilities</t>
        </is>
      </c>
      <c r="K652" s="6" t="n">
        <v>7689.96</v>
      </c>
      <c r="L652" s="6" t="n">
        <v>15515.73</v>
      </c>
      <c r="M652" s="4" t="inlineStr">
        <is>
          <t>Branch Office</t>
        </is>
      </c>
      <c r="N652" s="4" t="inlineStr">
        <is>
          <t>N</t>
        </is>
      </c>
      <c r="O652" s="4">
        <f>TEXT(D652, "dddd")</f>
        <v/>
      </c>
      <c r="P652" s="4">
        <f>"Q"&amp;ROUNDUP(MONTH(D652)/3, 0)</f>
        <v/>
      </c>
    </row>
    <row r="653">
      <c r="A653" s="7" t="inlineStr">
        <is>
          <t>TXN100656</t>
        </is>
      </c>
      <c r="B653" s="7" t="inlineStr">
        <is>
          <t>CUST0656</t>
        </is>
      </c>
      <c r="C653" s="7" t="inlineStr">
        <is>
          <t>2026-06-01 06:06:00</t>
        </is>
      </c>
      <c r="D653" s="7">
        <f>TEXT(LEFT(C653,10),"YYYY-MM-DD")</f>
        <v/>
      </c>
      <c r="E653" s="8">
        <f>HOUR(C653)</f>
        <v/>
      </c>
      <c r="F653" s="7" t="inlineStr">
        <is>
          <t>Male</t>
        </is>
      </c>
      <c r="G653" s="8" t="n">
        <v>31</v>
      </c>
      <c r="H653" s="7">
        <f>IF(G653&gt;=60, "Boomer", IF(G653&gt;=45, "Gen X", IF(G653&gt;=25, "Millennial", "Gen Z")))</f>
        <v/>
      </c>
      <c r="I653" s="7" t="inlineStr">
        <is>
          <t>Savings</t>
        </is>
      </c>
      <c r="J653" s="7" t="inlineStr">
        <is>
          <t>Travel</t>
        </is>
      </c>
      <c r="K653" s="9" t="n">
        <v>4939.4</v>
      </c>
      <c r="L653" s="9" t="n">
        <v>30477.42</v>
      </c>
      <c r="M653" s="7" t="inlineStr">
        <is>
          <t>Online Banking</t>
        </is>
      </c>
      <c r="N653" s="7" t="inlineStr">
        <is>
          <t>N</t>
        </is>
      </c>
      <c r="O653" s="7">
        <f>TEXT(D653, "dddd")</f>
        <v/>
      </c>
      <c r="P653" s="7">
        <f>"Q"&amp;ROUNDUP(MONTH(D653)/3, 0)</f>
        <v/>
      </c>
    </row>
    <row r="654">
      <c r="A654" s="4" t="inlineStr">
        <is>
          <t>TXN100657</t>
        </is>
      </c>
      <c r="B654" s="4" t="inlineStr">
        <is>
          <t>CUST0657</t>
        </is>
      </c>
      <c r="C654" s="4" t="inlineStr">
        <is>
          <t>2026-06-01 19:14:00</t>
        </is>
      </c>
      <c r="D654" s="4">
        <f>TEXT(LEFT(C654,10),"YYYY-MM-DD")</f>
        <v/>
      </c>
      <c r="E654" s="5">
        <f>HOUR(C654)</f>
        <v/>
      </c>
      <c r="F654" s="4" t="inlineStr">
        <is>
          <t>Female</t>
        </is>
      </c>
      <c r="G654" s="5" t="n">
        <v>63</v>
      </c>
      <c r="H654" s="4">
        <f>IF(G654&gt;=60, "Boomer", IF(G654&gt;=45, "Gen X", IF(G654&gt;=25, "Millennial", "Gen Z")))</f>
        <v/>
      </c>
      <c r="I654" s="4" t="inlineStr">
        <is>
          <t>Savings</t>
        </is>
      </c>
      <c r="J654" s="4" t="inlineStr">
        <is>
          <t>Entertainment</t>
        </is>
      </c>
      <c r="K654" s="6" t="n">
        <v>645.01</v>
      </c>
      <c r="L654" s="6" t="n">
        <v>39101.4</v>
      </c>
      <c r="M654" s="4" t="inlineStr">
        <is>
          <t>Online Banking</t>
        </is>
      </c>
      <c r="N654" s="4" t="inlineStr">
        <is>
          <t>N</t>
        </is>
      </c>
      <c r="O654" s="4">
        <f>TEXT(D654, "dddd")</f>
        <v/>
      </c>
      <c r="P654" s="4">
        <f>"Q"&amp;ROUNDUP(MONTH(D654)/3, 0)</f>
        <v/>
      </c>
    </row>
    <row r="655">
      <c r="A655" s="7" t="inlineStr">
        <is>
          <t>TXN100658</t>
        </is>
      </c>
      <c r="B655" s="7" t="inlineStr">
        <is>
          <t>CUST0658</t>
        </is>
      </c>
      <c r="C655" s="7" t="inlineStr">
        <is>
          <t>2026-06-01 16:54:00</t>
        </is>
      </c>
      <c r="D655" s="7">
        <f>TEXT(LEFT(C655,10),"YYYY-MM-DD")</f>
        <v/>
      </c>
      <c r="E655" s="8">
        <f>HOUR(C655)</f>
        <v/>
      </c>
      <c r="F655" s="7" t="inlineStr">
        <is>
          <t>Unspecified</t>
        </is>
      </c>
      <c r="G655" s="8" t="n">
        <v>65</v>
      </c>
      <c r="H655" s="7">
        <f>IF(G655&gt;=60, "Boomer", IF(G655&gt;=45, "Gen X", IF(G655&gt;=25, "Millennial", "Gen Z")))</f>
        <v/>
      </c>
      <c r="I655" s="7" t="inlineStr">
        <is>
          <t>Investment</t>
        </is>
      </c>
      <c r="J655" s="7" t="inlineStr">
        <is>
          <t>Entertainment</t>
        </is>
      </c>
      <c r="K655" s="9" t="n">
        <v>1479.97</v>
      </c>
      <c r="L655" s="9" t="n">
        <v>19679.28</v>
      </c>
      <c r="M655" s="7" t="inlineStr">
        <is>
          <t>ATM</t>
        </is>
      </c>
      <c r="N655" s="7" t="inlineStr">
        <is>
          <t>N</t>
        </is>
      </c>
      <c r="O655" s="7">
        <f>TEXT(D655, "dddd")</f>
        <v/>
      </c>
      <c r="P655" s="7">
        <f>"Q"&amp;ROUNDUP(MONTH(D655)/3, 0)</f>
        <v/>
      </c>
    </row>
    <row r="656">
      <c r="A656" s="4" t="inlineStr">
        <is>
          <t>TXN100659</t>
        </is>
      </c>
      <c r="B656" s="4" t="inlineStr">
        <is>
          <t>CUST0659</t>
        </is>
      </c>
      <c r="C656" s="4" t="inlineStr">
        <is>
          <t>2026-06-01 04:10:00</t>
        </is>
      </c>
      <c r="D656" s="4">
        <f>TEXT(LEFT(C656,10),"YYYY-MM-DD")</f>
        <v/>
      </c>
      <c r="E656" s="5">
        <f>HOUR(C656)</f>
        <v/>
      </c>
      <c r="F656" s="4" t="inlineStr">
        <is>
          <t>Female</t>
        </is>
      </c>
      <c r="G656" s="5" t="n">
        <v>34</v>
      </c>
      <c r="H656" s="4">
        <f>IF(G656&gt;=60, "Boomer", IF(G656&gt;=45, "Gen X", IF(G656&gt;=25, "Millennial", "Gen Z")))</f>
        <v/>
      </c>
      <c r="I656" s="4" t="inlineStr">
        <is>
          <t>Savings</t>
        </is>
      </c>
      <c r="J656" s="4" t="inlineStr">
        <is>
          <t>Utilities</t>
        </is>
      </c>
      <c r="K656" s="6" t="n">
        <v>6118.67</v>
      </c>
      <c r="L656" s="6" t="n">
        <v>1243.21</v>
      </c>
      <c r="M656" s="4" t="inlineStr">
        <is>
          <t>Branch Office</t>
        </is>
      </c>
      <c r="N656" s="4" t="inlineStr">
        <is>
          <t>N</t>
        </is>
      </c>
      <c r="O656" s="4">
        <f>TEXT(D656, "dddd")</f>
        <v/>
      </c>
      <c r="P656" s="4">
        <f>"Q"&amp;ROUNDUP(MONTH(D656)/3, 0)</f>
        <v/>
      </c>
    </row>
    <row r="657">
      <c r="A657" s="7" t="inlineStr">
        <is>
          <t>TXN100660</t>
        </is>
      </c>
      <c r="B657" s="7" t="inlineStr">
        <is>
          <t>CUST0660</t>
        </is>
      </c>
      <c r="C657" s="7" t="inlineStr">
        <is>
          <t>2026-06-01 13:14:00</t>
        </is>
      </c>
      <c r="D657" s="7">
        <f>TEXT(LEFT(C657,10),"YYYY-MM-DD")</f>
        <v/>
      </c>
      <c r="E657" s="8">
        <f>HOUR(C657)</f>
        <v/>
      </c>
      <c r="F657" s="7" t="inlineStr">
        <is>
          <t>Female</t>
        </is>
      </c>
      <c r="G657" s="8" t="n">
        <v>68</v>
      </c>
      <c r="H657" s="7">
        <f>IF(G657&gt;=60, "Boomer", IF(G657&gt;=45, "Gen X", IF(G657&gt;=25, "Millennial", "Gen Z")))</f>
        <v/>
      </c>
      <c r="I657" s="7" t="inlineStr">
        <is>
          <t>Savings</t>
        </is>
      </c>
      <c r="J657" s="7" t="inlineStr">
        <is>
          <t>Groceries</t>
        </is>
      </c>
      <c r="K657" s="9" t="n">
        <v>1424.85</v>
      </c>
      <c r="L657" s="9" t="n">
        <v>47757.6</v>
      </c>
      <c r="M657" s="7" t="inlineStr">
        <is>
          <t>ATM</t>
        </is>
      </c>
      <c r="N657" s="7" t="inlineStr">
        <is>
          <t>N</t>
        </is>
      </c>
      <c r="O657" s="7">
        <f>TEXT(D657, "dddd")</f>
        <v/>
      </c>
      <c r="P657" s="7">
        <f>"Q"&amp;ROUNDUP(MONTH(D657)/3, 0)</f>
        <v/>
      </c>
    </row>
    <row r="658">
      <c r="A658" s="4" t="inlineStr">
        <is>
          <t>TXN100661</t>
        </is>
      </c>
      <c r="B658" s="4" t="inlineStr">
        <is>
          <t>CUST0661</t>
        </is>
      </c>
      <c r="C658" s="4" t="inlineStr">
        <is>
          <t>2026-06-01 19:31:00</t>
        </is>
      </c>
      <c r="D658" s="4">
        <f>TEXT(LEFT(C658,10),"YYYY-MM-DD")</f>
        <v/>
      </c>
      <c r="E658" s="5">
        <f>HOUR(C658)</f>
        <v/>
      </c>
      <c r="F658" s="4" t="inlineStr">
        <is>
          <t>Female</t>
        </is>
      </c>
      <c r="G658" s="5" t="n">
        <v>75</v>
      </c>
      <c r="H658" s="4">
        <f>IF(G658&gt;=60, "Boomer", IF(G658&gt;=45, "Gen X", IF(G658&gt;=25, "Millennial", "Gen Z")))</f>
        <v/>
      </c>
      <c r="I658" s="4" t="inlineStr">
        <is>
          <t>Checking</t>
        </is>
      </c>
      <c r="J658" s="4" t="inlineStr">
        <is>
          <t>Groceries</t>
        </is>
      </c>
      <c r="K658" s="6" t="n">
        <v>3426.17</v>
      </c>
      <c r="L658" s="6" t="n">
        <v>38922.63</v>
      </c>
      <c r="M658" s="4" t="inlineStr">
        <is>
          <t>ATM</t>
        </is>
      </c>
      <c r="N658" s="4" t="inlineStr">
        <is>
          <t>N</t>
        </is>
      </c>
      <c r="O658" s="4">
        <f>TEXT(D658, "dddd")</f>
        <v/>
      </c>
      <c r="P658" s="4">
        <f>"Q"&amp;ROUNDUP(MONTH(D658)/3, 0)</f>
        <v/>
      </c>
    </row>
    <row r="659">
      <c r="A659" s="7" t="inlineStr">
        <is>
          <t>TXN100662</t>
        </is>
      </c>
      <c r="B659" s="7" t="inlineStr">
        <is>
          <t>CUST0662</t>
        </is>
      </c>
      <c r="C659" s="7" t="inlineStr">
        <is>
          <t>2026-06-01 23:20:00</t>
        </is>
      </c>
      <c r="D659" s="7">
        <f>TEXT(LEFT(C659,10),"YYYY-MM-DD")</f>
        <v/>
      </c>
      <c r="E659" s="8">
        <f>HOUR(C659)</f>
        <v/>
      </c>
      <c r="F659" s="7" t="inlineStr">
        <is>
          <t>Unspecified</t>
        </is>
      </c>
      <c r="G659" s="8" t="n">
        <v>59</v>
      </c>
      <c r="H659" s="7">
        <f>IF(G659&gt;=60, "Boomer", IF(G659&gt;=45, "Gen X", IF(G659&gt;=25, "Millennial", "Gen Z")))</f>
        <v/>
      </c>
      <c r="I659" s="7" t="inlineStr">
        <is>
          <t>Investment</t>
        </is>
      </c>
      <c r="J659" s="7" t="inlineStr">
        <is>
          <t>Travel</t>
        </is>
      </c>
      <c r="K659" s="9" t="n">
        <v>4754.51</v>
      </c>
      <c r="L659" s="9" t="n">
        <v>26498.91</v>
      </c>
      <c r="M659" s="7" t="inlineStr">
        <is>
          <t>Mobile App</t>
        </is>
      </c>
      <c r="N659" s="7" t="inlineStr">
        <is>
          <t>N</t>
        </is>
      </c>
      <c r="O659" s="7">
        <f>TEXT(D659, "dddd")</f>
        <v/>
      </c>
      <c r="P659" s="7">
        <f>"Q"&amp;ROUNDUP(MONTH(D659)/3, 0)</f>
        <v/>
      </c>
    </row>
    <row r="660">
      <c r="A660" s="4" t="inlineStr">
        <is>
          <t>TXN100663</t>
        </is>
      </c>
      <c r="B660" s="4" t="inlineStr">
        <is>
          <t>CUST0663</t>
        </is>
      </c>
      <c r="C660" s="4" t="inlineStr">
        <is>
          <t>2026-06-01 16:06:00</t>
        </is>
      </c>
      <c r="D660" s="4">
        <f>TEXT(LEFT(C660,10),"YYYY-MM-DD")</f>
        <v/>
      </c>
      <c r="E660" s="5">
        <f>HOUR(C660)</f>
        <v/>
      </c>
      <c r="F660" s="4" t="inlineStr">
        <is>
          <t>Unspecified</t>
        </is>
      </c>
      <c r="G660" s="5" t="n">
        <v>49</v>
      </c>
      <c r="H660" s="4">
        <f>IF(G660&gt;=60, "Boomer", IF(G660&gt;=45, "Gen X", IF(G660&gt;=25, "Millennial", "Gen Z")))</f>
        <v/>
      </c>
      <c r="I660" s="4" t="inlineStr">
        <is>
          <t>Savings</t>
        </is>
      </c>
      <c r="J660" s="4" t="inlineStr">
        <is>
          <t>Groceries</t>
        </is>
      </c>
      <c r="K660" s="6" t="n">
        <v>4154.43</v>
      </c>
      <c r="L660" s="6" t="n">
        <v>20082.75</v>
      </c>
      <c r="M660" s="4" t="inlineStr">
        <is>
          <t>Mobile App</t>
        </is>
      </c>
      <c r="N660" s="4" t="inlineStr">
        <is>
          <t>N</t>
        </is>
      </c>
      <c r="O660" s="4">
        <f>TEXT(D660, "dddd")</f>
        <v/>
      </c>
      <c r="P660" s="4">
        <f>"Q"&amp;ROUNDUP(MONTH(D660)/3, 0)</f>
        <v/>
      </c>
    </row>
    <row r="661">
      <c r="A661" s="7" t="inlineStr">
        <is>
          <t>TXN100664</t>
        </is>
      </c>
      <c r="B661" s="7" t="inlineStr">
        <is>
          <t>CUST0664</t>
        </is>
      </c>
      <c r="C661" s="7" t="inlineStr">
        <is>
          <t>2026-06-01 17:24:00</t>
        </is>
      </c>
      <c r="D661" s="7">
        <f>TEXT(LEFT(C661,10),"YYYY-MM-DD")</f>
        <v/>
      </c>
      <c r="E661" s="8">
        <f>HOUR(C661)</f>
        <v/>
      </c>
      <c r="F661" s="7" t="inlineStr">
        <is>
          <t>Male</t>
        </is>
      </c>
      <c r="G661" s="8" t="n">
        <v>32</v>
      </c>
      <c r="H661" s="7">
        <f>IF(G661&gt;=60, "Boomer", IF(G661&gt;=45, "Gen X", IF(G661&gt;=25, "Millennial", "Gen Z")))</f>
        <v/>
      </c>
      <c r="I661" s="7" t="inlineStr">
        <is>
          <t>Checking</t>
        </is>
      </c>
      <c r="J661" s="7" t="inlineStr">
        <is>
          <t>Utilities</t>
        </is>
      </c>
      <c r="K661" s="9" t="n">
        <v>3190.34</v>
      </c>
      <c r="L661" s="9" t="n">
        <v>15575.43</v>
      </c>
      <c r="M661" s="7" t="inlineStr">
        <is>
          <t>Branch Office</t>
        </is>
      </c>
      <c r="N661" s="7" t="inlineStr">
        <is>
          <t>N</t>
        </is>
      </c>
      <c r="O661" s="7">
        <f>TEXT(D661, "dddd")</f>
        <v/>
      </c>
      <c r="P661" s="7">
        <f>"Q"&amp;ROUNDUP(MONTH(D661)/3, 0)</f>
        <v/>
      </c>
    </row>
    <row r="662">
      <c r="A662" s="4" t="inlineStr">
        <is>
          <t>TXN100665</t>
        </is>
      </c>
      <c r="B662" s="4" t="inlineStr">
        <is>
          <t>CUST0665</t>
        </is>
      </c>
      <c r="C662" s="4" t="inlineStr">
        <is>
          <t>2026-06-01 14:10:00</t>
        </is>
      </c>
      <c r="D662" s="4">
        <f>TEXT(LEFT(C662,10),"YYYY-MM-DD")</f>
        <v/>
      </c>
      <c r="E662" s="5">
        <f>HOUR(C662)</f>
        <v/>
      </c>
      <c r="F662" s="4" t="inlineStr">
        <is>
          <t>Unspecified</t>
        </is>
      </c>
      <c r="G662" s="5" t="n">
        <v>38</v>
      </c>
      <c r="H662" s="4">
        <f>IF(G662&gt;=60, "Boomer", IF(G662&gt;=45, "Gen X", IF(G662&gt;=25, "Millennial", "Gen Z")))</f>
        <v/>
      </c>
      <c r="I662" s="4" t="inlineStr">
        <is>
          <t>Investment</t>
        </is>
      </c>
      <c r="J662" s="4" t="inlineStr">
        <is>
          <t>Groceries</t>
        </is>
      </c>
      <c r="K662" s="6" t="n">
        <v>5522.72</v>
      </c>
      <c r="L662" s="6" t="n">
        <v>45231.94</v>
      </c>
      <c r="M662" s="4" t="inlineStr">
        <is>
          <t>ATM</t>
        </is>
      </c>
      <c r="N662" s="4" t="inlineStr">
        <is>
          <t>N</t>
        </is>
      </c>
      <c r="O662" s="4">
        <f>TEXT(D662, "dddd")</f>
        <v/>
      </c>
      <c r="P662" s="4">
        <f>"Q"&amp;ROUNDUP(MONTH(D662)/3, 0)</f>
        <v/>
      </c>
    </row>
    <row r="663">
      <c r="A663" s="7" t="inlineStr">
        <is>
          <t>TXN100666</t>
        </is>
      </c>
      <c r="B663" s="7" t="inlineStr">
        <is>
          <t>CUST0666</t>
        </is>
      </c>
      <c r="C663" s="7" t="inlineStr">
        <is>
          <t>2026-06-01 20:28:00</t>
        </is>
      </c>
      <c r="D663" s="7">
        <f>TEXT(LEFT(C663,10),"YYYY-MM-DD")</f>
        <v/>
      </c>
      <c r="E663" s="8">
        <f>HOUR(C663)</f>
        <v/>
      </c>
      <c r="F663" s="7" t="inlineStr">
        <is>
          <t>Male</t>
        </is>
      </c>
      <c r="G663" s="8" t="n">
        <v>66</v>
      </c>
      <c r="H663" s="7">
        <f>IF(G663&gt;=60, "Boomer", IF(G663&gt;=45, "Gen X", IF(G663&gt;=25, "Millennial", "Gen Z")))</f>
        <v/>
      </c>
      <c r="I663" s="7" t="inlineStr">
        <is>
          <t>Investment</t>
        </is>
      </c>
      <c r="J663" s="7" t="inlineStr">
        <is>
          <t>Groceries</t>
        </is>
      </c>
      <c r="K663" s="9" t="n">
        <v>1446.37</v>
      </c>
      <c r="L663" s="9" t="n">
        <v>29479.66</v>
      </c>
      <c r="M663" s="7" t="inlineStr">
        <is>
          <t>Online Banking</t>
        </is>
      </c>
      <c r="N663" s="7" t="inlineStr">
        <is>
          <t>N</t>
        </is>
      </c>
      <c r="O663" s="7">
        <f>TEXT(D663, "dddd")</f>
        <v/>
      </c>
      <c r="P663" s="7">
        <f>"Q"&amp;ROUNDUP(MONTH(D663)/3, 0)</f>
        <v/>
      </c>
    </row>
    <row r="664">
      <c r="A664" s="4" t="inlineStr">
        <is>
          <t>TXN100667</t>
        </is>
      </c>
      <c r="B664" s="4" t="inlineStr">
        <is>
          <t>CUST0667</t>
        </is>
      </c>
      <c r="C664" s="4" t="inlineStr">
        <is>
          <t>2026-06-01 12:26:00</t>
        </is>
      </c>
      <c r="D664" s="4">
        <f>TEXT(LEFT(C664,10),"YYYY-MM-DD")</f>
        <v/>
      </c>
      <c r="E664" s="5">
        <f>HOUR(C664)</f>
        <v/>
      </c>
      <c r="F664" s="4" t="inlineStr">
        <is>
          <t>Female</t>
        </is>
      </c>
      <c r="G664" s="5" t="n">
        <v>48</v>
      </c>
      <c r="H664" s="4">
        <f>IF(G664&gt;=60, "Boomer", IF(G664&gt;=45, "Gen X", IF(G664&gt;=25, "Millennial", "Gen Z")))</f>
        <v/>
      </c>
      <c r="I664" s="4" t="inlineStr">
        <is>
          <t>Savings</t>
        </is>
      </c>
      <c r="J664" s="4" t="inlineStr">
        <is>
          <t>Groceries</t>
        </is>
      </c>
      <c r="K664" s="6" t="n">
        <v>3634.91</v>
      </c>
      <c r="L664" s="6" t="n">
        <v>44882.57</v>
      </c>
      <c r="M664" s="4" t="inlineStr">
        <is>
          <t>Online Banking</t>
        </is>
      </c>
      <c r="N664" s="4" t="inlineStr">
        <is>
          <t>N</t>
        </is>
      </c>
      <c r="O664" s="4">
        <f>TEXT(D664, "dddd")</f>
        <v/>
      </c>
      <c r="P664" s="4">
        <f>"Q"&amp;ROUNDUP(MONTH(D664)/3, 0)</f>
        <v/>
      </c>
    </row>
    <row r="665">
      <c r="A665" s="7" t="inlineStr">
        <is>
          <t>TXN100668</t>
        </is>
      </c>
      <c r="B665" s="7" t="inlineStr">
        <is>
          <t>CUST0668</t>
        </is>
      </c>
      <c r="C665" s="7" t="inlineStr">
        <is>
          <t>2026-06-01 14:05:00</t>
        </is>
      </c>
      <c r="D665" s="7">
        <f>TEXT(LEFT(C665,10),"YYYY-MM-DD")</f>
        <v/>
      </c>
      <c r="E665" s="8">
        <f>HOUR(C665)</f>
        <v/>
      </c>
      <c r="F665" s="7" t="inlineStr">
        <is>
          <t>Female</t>
        </is>
      </c>
      <c r="G665" s="8" t="n">
        <v>40</v>
      </c>
      <c r="H665" s="7">
        <f>IF(G665&gt;=60, "Boomer", IF(G665&gt;=45, "Gen X", IF(G665&gt;=25, "Millennial", "Gen Z")))</f>
        <v/>
      </c>
      <c r="I665" s="7" t="inlineStr">
        <is>
          <t>Investment</t>
        </is>
      </c>
      <c r="J665" s="7" t="inlineStr">
        <is>
          <t>Groceries</t>
        </is>
      </c>
      <c r="K665" s="9" t="n">
        <v>5749.81</v>
      </c>
      <c r="L665" s="9" t="n">
        <v>6615.44</v>
      </c>
      <c r="M665" s="7" t="inlineStr">
        <is>
          <t>Mobile App</t>
        </is>
      </c>
      <c r="N665" s="7" t="inlineStr">
        <is>
          <t>N</t>
        </is>
      </c>
      <c r="O665" s="7">
        <f>TEXT(D665, "dddd")</f>
        <v/>
      </c>
      <c r="P665" s="7">
        <f>"Q"&amp;ROUNDUP(MONTH(D665)/3, 0)</f>
        <v/>
      </c>
    </row>
    <row r="666">
      <c r="A666" s="4" t="inlineStr">
        <is>
          <t>TXN100669</t>
        </is>
      </c>
      <c r="B666" s="4" t="inlineStr">
        <is>
          <t>CUST0669</t>
        </is>
      </c>
      <c r="C666" s="4" t="inlineStr">
        <is>
          <t>2026-06-01 22:28:00</t>
        </is>
      </c>
      <c r="D666" s="4">
        <f>TEXT(LEFT(C666,10),"YYYY-MM-DD")</f>
        <v/>
      </c>
      <c r="E666" s="5">
        <f>HOUR(C666)</f>
        <v/>
      </c>
      <c r="F666" s="4" t="inlineStr">
        <is>
          <t>Female</t>
        </is>
      </c>
      <c r="G666" s="5" t="n">
        <v>25</v>
      </c>
      <c r="H666" s="4">
        <f>IF(G666&gt;=60, "Boomer", IF(G666&gt;=45, "Gen X", IF(G666&gt;=25, "Millennial", "Gen Z")))</f>
        <v/>
      </c>
      <c r="I666" s="4" t="inlineStr">
        <is>
          <t>Investment</t>
        </is>
      </c>
      <c r="J666" s="4" t="inlineStr">
        <is>
          <t>Utilities</t>
        </is>
      </c>
      <c r="K666" s="6" t="n">
        <v>5817.72</v>
      </c>
      <c r="L666" s="6" t="n">
        <v>48771.98</v>
      </c>
      <c r="M666" s="4" t="inlineStr">
        <is>
          <t>Online Banking</t>
        </is>
      </c>
      <c r="N666" s="4" t="inlineStr">
        <is>
          <t>N</t>
        </is>
      </c>
      <c r="O666" s="4">
        <f>TEXT(D666, "dddd")</f>
        <v/>
      </c>
      <c r="P666" s="4">
        <f>"Q"&amp;ROUNDUP(MONTH(D666)/3, 0)</f>
        <v/>
      </c>
    </row>
    <row r="667">
      <c r="A667" s="7" t="inlineStr">
        <is>
          <t>TXN100670</t>
        </is>
      </c>
      <c r="B667" s="7" t="inlineStr">
        <is>
          <t>CUST0670</t>
        </is>
      </c>
      <c r="C667" s="7" t="inlineStr">
        <is>
          <t>2026-06-01 12:35:00</t>
        </is>
      </c>
      <c r="D667" s="7">
        <f>TEXT(LEFT(C667,10),"YYYY-MM-DD")</f>
        <v/>
      </c>
      <c r="E667" s="8">
        <f>HOUR(C667)</f>
        <v/>
      </c>
      <c r="F667" s="7" t="inlineStr">
        <is>
          <t>Unspecified</t>
        </is>
      </c>
      <c r="G667" s="8" t="n">
        <v>22</v>
      </c>
      <c r="H667" s="7">
        <f>IF(G667&gt;=60, "Boomer", IF(G667&gt;=45, "Gen X", IF(G667&gt;=25, "Millennial", "Gen Z")))</f>
        <v/>
      </c>
      <c r="I667" s="7" t="inlineStr">
        <is>
          <t>Savings</t>
        </is>
      </c>
      <c r="J667" s="7" t="inlineStr">
        <is>
          <t>Entertainment</t>
        </is>
      </c>
      <c r="K667" s="9" t="n">
        <v>4528.28</v>
      </c>
      <c r="L667" s="9" t="n">
        <v>33146.75</v>
      </c>
      <c r="M667" s="7" t="inlineStr">
        <is>
          <t>Online Banking</t>
        </is>
      </c>
      <c r="N667" s="7" t="inlineStr">
        <is>
          <t>N</t>
        </is>
      </c>
      <c r="O667" s="7">
        <f>TEXT(D667, "dddd")</f>
        <v/>
      </c>
      <c r="P667" s="7">
        <f>"Q"&amp;ROUNDUP(MONTH(D667)/3, 0)</f>
        <v/>
      </c>
    </row>
    <row r="668">
      <c r="A668" s="4" t="inlineStr">
        <is>
          <t>TXN100671</t>
        </is>
      </c>
      <c r="B668" s="4" t="inlineStr">
        <is>
          <t>CUST0671</t>
        </is>
      </c>
      <c r="C668" s="4" t="inlineStr">
        <is>
          <t>2026-06-01 05:55:00</t>
        </is>
      </c>
      <c r="D668" s="4">
        <f>TEXT(LEFT(C668,10),"YYYY-MM-DD")</f>
        <v/>
      </c>
      <c r="E668" s="5">
        <f>HOUR(C668)</f>
        <v/>
      </c>
      <c r="F668" s="4" t="inlineStr">
        <is>
          <t>Male</t>
        </is>
      </c>
      <c r="G668" s="5" t="n">
        <v>31</v>
      </c>
      <c r="H668" s="4">
        <f>IF(G668&gt;=60, "Boomer", IF(G668&gt;=45, "Gen X", IF(G668&gt;=25, "Millennial", "Gen Z")))</f>
        <v/>
      </c>
      <c r="I668" s="4" t="inlineStr">
        <is>
          <t>Investment</t>
        </is>
      </c>
      <c r="J668" s="4" t="inlineStr">
        <is>
          <t>Groceries</t>
        </is>
      </c>
      <c r="K668" s="6" t="n">
        <v>3362.46</v>
      </c>
      <c r="L668" s="6" t="n">
        <v>15821.16</v>
      </c>
      <c r="M668" s="4" t="inlineStr">
        <is>
          <t>ATM</t>
        </is>
      </c>
      <c r="N668" s="4" t="inlineStr">
        <is>
          <t>N</t>
        </is>
      </c>
      <c r="O668" s="4">
        <f>TEXT(D668, "dddd")</f>
        <v/>
      </c>
      <c r="P668" s="4">
        <f>"Q"&amp;ROUNDUP(MONTH(D668)/3, 0)</f>
        <v/>
      </c>
    </row>
    <row r="669">
      <c r="A669" s="7" t="inlineStr">
        <is>
          <t>TXN100672</t>
        </is>
      </c>
      <c r="B669" s="7" t="inlineStr">
        <is>
          <t>CUST0672</t>
        </is>
      </c>
      <c r="C669" s="7" t="inlineStr">
        <is>
          <t>2026-06-01 09:40:00</t>
        </is>
      </c>
      <c r="D669" s="7">
        <f>TEXT(LEFT(C669,10),"YYYY-MM-DD")</f>
        <v/>
      </c>
      <c r="E669" s="8">
        <f>HOUR(C669)</f>
        <v/>
      </c>
      <c r="F669" s="7" t="inlineStr">
        <is>
          <t>Male</t>
        </is>
      </c>
      <c r="G669" s="8" t="n">
        <v>27</v>
      </c>
      <c r="H669" s="7">
        <f>IF(G669&gt;=60, "Boomer", IF(G669&gt;=45, "Gen X", IF(G669&gt;=25, "Millennial", "Gen Z")))</f>
        <v/>
      </c>
      <c r="I669" s="7" t="inlineStr">
        <is>
          <t>Savings</t>
        </is>
      </c>
      <c r="J669" s="7" t="inlineStr">
        <is>
          <t>Groceries</t>
        </is>
      </c>
      <c r="K669" s="9" t="n">
        <v>38.23</v>
      </c>
      <c r="L669" s="9" t="n">
        <v>38387.09</v>
      </c>
      <c r="M669" s="7" t="inlineStr">
        <is>
          <t>Mobile App</t>
        </is>
      </c>
      <c r="N669" s="7" t="inlineStr">
        <is>
          <t>N</t>
        </is>
      </c>
      <c r="O669" s="7">
        <f>TEXT(D669, "dddd")</f>
        <v/>
      </c>
      <c r="P669" s="7">
        <f>"Q"&amp;ROUNDUP(MONTH(D669)/3, 0)</f>
        <v/>
      </c>
    </row>
    <row r="670">
      <c r="A670" s="4" t="inlineStr">
        <is>
          <t>TXN100673</t>
        </is>
      </c>
      <c r="B670" s="4" t="inlineStr">
        <is>
          <t>CUST0673</t>
        </is>
      </c>
      <c r="C670" s="4" t="inlineStr">
        <is>
          <t>2026-06-01 14:31:00</t>
        </is>
      </c>
      <c r="D670" s="4">
        <f>TEXT(LEFT(C670,10),"YYYY-MM-DD")</f>
        <v/>
      </c>
      <c r="E670" s="5">
        <f>HOUR(C670)</f>
        <v/>
      </c>
      <c r="F670" s="4" t="inlineStr">
        <is>
          <t>Unspecified</t>
        </is>
      </c>
      <c r="G670" s="5" t="n">
        <v>54</v>
      </c>
      <c r="H670" s="4">
        <f>IF(G670&gt;=60, "Boomer", IF(G670&gt;=45, "Gen X", IF(G670&gt;=25, "Millennial", "Gen Z")))</f>
        <v/>
      </c>
      <c r="I670" s="4" t="inlineStr">
        <is>
          <t>Savings</t>
        </is>
      </c>
      <c r="J670" s="4" t="inlineStr">
        <is>
          <t>Travel</t>
        </is>
      </c>
      <c r="K670" s="6" t="n">
        <v>7062.8</v>
      </c>
      <c r="L670" s="6" t="n">
        <v>12274.98</v>
      </c>
      <c r="M670" s="4" t="inlineStr">
        <is>
          <t>ATM</t>
        </is>
      </c>
      <c r="N670" s="4" t="inlineStr">
        <is>
          <t>N</t>
        </is>
      </c>
      <c r="O670" s="4">
        <f>TEXT(D670, "dddd")</f>
        <v/>
      </c>
      <c r="P670" s="4">
        <f>"Q"&amp;ROUNDUP(MONTH(D670)/3, 0)</f>
        <v/>
      </c>
    </row>
    <row r="671">
      <c r="A671" s="7" t="inlineStr">
        <is>
          <t>TXN100674</t>
        </is>
      </c>
      <c r="B671" s="7" t="inlineStr">
        <is>
          <t>CUST0674</t>
        </is>
      </c>
      <c r="C671" s="7" t="inlineStr">
        <is>
          <t>2026-06-01 14:05:00</t>
        </is>
      </c>
      <c r="D671" s="7">
        <f>TEXT(LEFT(C671,10),"YYYY-MM-DD")</f>
        <v/>
      </c>
      <c r="E671" s="8">
        <f>HOUR(C671)</f>
        <v/>
      </c>
      <c r="F671" s="7" t="inlineStr">
        <is>
          <t>Male</t>
        </is>
      </c>
      <c r="G671" s="8" t="n">
        <v>35</v>
      </c>
      <c r="H671" s="7">
        <f>IF(G671&gt;=60, "Boomer", IF(G671&gt;=45, "Gen X", IF(G671&gt;=25, "Millennial", "Gen Z")))</f>
        <v/>
      </c>
      <c r="I671" s="7" t="inlineStr">
        <is>
          <t>Investment</t>
        </is>
      </c>
      <c r="J671" s="7" t="inlineStr">
        <is>
          <t>Entertainment</t>
        </is>
      </c>
      <c r="K671" s="9" t="n">
        <v>4961.93</v>
      </c>
      <c r="L671" s="9" t="n">
        <v>28098.66</v>
      </c>
      <c r="M671" s="7" t="inlineStr">
        <is>
          <t>Online Banking</t>
        </is>
      </c>
      <c r="N671" s="7" t="inlineStr">
        <is>
          <t>N</t>
        </is>
      </c>
      <c r="O671" s="7">
        <f>TEXT(D671, "dddd")</f>
        <v/>
      </c>
      <c r="P671" s="7">
        <f>"Q"&amp;ROUNDUP(MONTH(D671)/3, 0)</f>
        <v/>
      </c>
    </row>
    <row r="672">
      <c r="A672" s="4" t="inlineStr">
        <is>
          <t>TXN100675</t>
        </is>
      </c>
      <c r="B672" s="4" t="inlineStr">
        <is>
          <t>CUST0675</t>
        </is>
      </c>
      <c r="C672" s="4" t="inlineStr">
        <is>
          <t>2026-06-01 01:11:00</t>
        </is>
      </c>
      <c r="D672" s="4">
        <f>TEXT(LEFT(C672,10),"YYYY-MM-DD")</f>
        <v/>
      </c>
      <c r="E672" s="5">
        <f>HOUR(C672)</f>
        <v/>
      </c>
      <c r="F672" s="4" t="inlineStr">
        <is>
          <t>Male</t>
        </is>
      </c>
      <c r="G672" s="5" t="n">
        <v>23</v>
      </c>
      <c r="H672" s="4">
        <f>IF(G672&gt;=60, "Boomer", IF(G672&gt;=45, "Gen X", IF(G672&gt;=25, "Millennial", "Gen Z")))</f>
        <v/>
      </c>
      <c r="I672" s="4" t="inlineStr">
        <is>
          <t>Investment</t>
        </is>
      </c>
      <c r="J672" s="4" t="inlineStr">
        <is>
          <t>Entertainment</t>
        </is>
      </c>
      <c r="K672" s="6" t="n">
        <v>303.4</v>
      </c>
      <c r="L672" s="6" t="n">
        <v>42764.55</v>
      </c>
      <c r="M672" s="4" t="inlineStr">
        <is>
          <t>Branch Office</t>
        </is>
      </c>
      <c r="N672" s="4" t="inlineStr">
        <is>
          <t>N</t>
        </is>
      </c>
      <c r="O672" s="4">
        <f>TEXT(D672, "dddd")</f>
        <v/>
      </c>
      <c r="P672" s="4">
        <f>"Q"&amp;ROUNDUP(MONTH(D672)/3, 0)</f>
        <v/>
      </c>
    </row>
    <row r="673">
      <c r="A673" s="7" t="inlineStr">
        <is>
          <t>TXN100676</t>
        </is>
      </c>
      <c r="B673" s="7" t="inlineStr">
        <is>
          <t>CUST0676</t>
        </is>
      </c>
      <c r="C673" s="7" t="inlineStr">
        <is>
          <t>2026-06-01 10:58:00</t>
        </is>
      </c>
      <c r="D673" s="7">
        <f>TEXT(LEFT(C673,10),"YYYY-MM-DD")</f>
        <v/>
      </c>
      <c r="E673" s="8">
        <f>HOUR(C673)</f>
        <v/>
      </c>
      <c r="F673" s="7" t="inlineStr">
        <is>
          <t>Male</t>
        </is>
      </c>
      <c r="G673" s="8" t="n">
        <v>23</v>
      </c>
      <c r="H673" s="7">
        <f>IF(G673&gt;=60, "Boomer", IF(G673&gt;=45, "Gen X", IF(G673&gt;=25, "Millennial", "Gen Z")))</f>
        <v/>
      </c>
      <c r="I673" s="7" t="inlineStr">
        <is>
          <t>Savings</t>
        </is>
      </c>
      <c r="J673" s="7" t="inlineStr">
        <is>
          <t>Utilities</t>
        </is>
      </c>
      <c r="K673" s="9" t="n">
        <v>7949.94</v>
      </c>
      <c r="L673" s="9" t="n">
        <v>8486.09</v>
      </c>
      <c r="M673" s="7" t="inlineStr">
        <is>
          <t>Branch Office</t>
        </is>
      </c>
      <c r="N673" s="7" t="inlineStr">
        <is>
          <t>Y</t>
        </is>
      </c>
      <c r="O673" s="7">
        <f>TEXT(D673, "dddd")</f>
        <v/>
      </c>
      <c r="P673" s="7">
        <f>"Q"&amp;ROUNDUP(MONTH(D673)/3, 0)</f>
        <v/>
      </c>
    </row>
    <row r="674">
      <c r="A674" s="4" t="inlineStr">
        <is>
          <t>TXN100677</t>
        </is>
      </c>
      <c r="B674" s="4" t="inlineStr">
        <is>
          <t>CUST0677</t>
        </is>
      </c>
      <c r="C674" s="4" t="inlineStr">
        <is>
          <t>2026-06-01 22:44:00</t>
        </is>
      </c>
      <c r="D674" s="4">
        <f>TEXT(LEFT(C674,10),"YYYY-MM-DD")</f>
        <v/>
      </c>
      <c r="E674" s="5">
        <f>HOUR(C674)</f>
        <v/>
      </c>
      <c r="F674" s="4" t="inlineStr">
        <is>
          <t>Male</t>
        </is>
      </c>
      <c r="G674" s="5" t="n">
        <v>49</v>
      </c>
      <c r="H674" s="4">
        <f>IF(G674&gt;=60, "Boomer", IF(G674&gt;=45, "Gen X", IF(G674&gt;=25, "Millennial", "Gen Z")))</f>
        <v/>
      </c>
      <c r="I674" s="4" t="inlineStr">
        <is>
          <t>Investment</t>
        </is>
      </c>
      <c r="J674" s="4" t="inlineStr">
        <is>
          <t>Travel</t>
        </is>
      </c>
      <c r="K674" s="6" t="n">
        <v>2887.91</v>
      </c>
      <c r="L674" s="6" t="n">
        <v>2274.08</v>
      </c>
      <c r="M674" s="4" t="inlineStr">
        <is>
          <t>Branch Office</t>
        </is>
      </c>
      <c r="N674" s="4" t="inlineStr">
        <is>
          <t>N</t>
        </is>
      </c>
      <c r="O674" s="4">
        <f>TEXT(D674, "dddd")</f>
        <v/>
      </c>
      <c r="P674" s="4">
        <f>"Q"&amp;ROUNDUP(MONTH(D674)/3, 0)</f>
        <v/>
      </c>
    </row>
    <row r="675">
      <c r="A675" s="7" t="inlineStr">
        <is>
          <t>TXN100678</t>
        </is>
      </c>
      <c r="B675" s="7" t="inlineStr">
        <is>
          <t>CUST0678</t>
        </is>
      </c>
      <c r="C675" s="7" t="inlineStr">
        <is>
          <t>2026-06-01 10:23:00</t>
        </is>
      </c>
      <c r="D675" s="7">
        <f>TEXT(LEFT(C675,10),"YYYY-MM-DD")</f>
        <v/>
      </c>
      <c r="E675" s="8">
        <f>HOUR(C675)</f>
        <v/>
      </c>
      <c r="F675" s="7" t="inlineStr">
        <is>
          <t>Unspecified</t>
        </is>
      </c>
      <c r="G675" s="8" t="n">
        <v>72</v>
      </c>
      <c r="H675" s="7">
        <f>IF(G675&gt;=60, "Boomer", IF(G675&gt;=45, "Gen X", IF(G675&gt;=25, "Millennial", "Gen Z")))</f>
        <v/>
      </c>
      <c r="I675" s="7" t="inlineStr">
        <is>
          <t>Savings</t>
        </is>
      </c>
      <c r="J675" s="7" t="inlineStr">
        <is>
          <t>Utilities</t>
        </is>
      </c>
      <c r="K675" s="9" t="n">
        <v>6748.04</v>
      </c>
      <c r="L675" s="9" t="n">
        <v>3713.83</v>
      </c>
      <c r="M675" s="7" t="inlineStr">
        <is>
          <t>ATM</t>
        </is>
      </c>
      <c r="N675" s="7" t="inlineStr">
        <is>
          <t>N</t>
        </is>
      </c>
      <c r="O675" s="7">
        <f>TEXT(D675, "dddd")</f>
        <v/>
      </c>
      <c r="P675" s="7">
        <f>"Q"&amp;ROUNDUP(MONTH(D675)/3, 0)</f>
        <v/>
      </c>
    </row>
    <row r="676">
      <c r="A676" s="4" t="inlineStr">
        <is>
          <t>TXN100679</t>
        </is>
      </c>
      <c r="B676" s="4" t="inlineStr">
        <is>
          <t>CUST0679</t>
        </is>
      </c>
      <c r="C676" s="4" t="inlineStr">
        <is>
          <t>2026-06-01 04:07:00</t>
        </is>
      </c>
      <c r="D676" s="4">
        <f>TEXT(LEFT(C676,10),"YYYY-MM-DD")</f>
        <v/>
      </c>
      <c r="E676" s="5">
        <f>HOUR(C676)</f>
        <v/>
      </c>
      <c r="F676" s="4" t="inlineStr">
        <is>
          <t>Female</t>
        </is>
      </c>
      <c r="G676" s="5" t="n">
        <v>41</v>
      </c>
      <c r="H676" s="4">
        <f>IF(G676&gt;=60, "Boomer", IF(G676&gt;=45, "Gen X", IF(G676&gt;=25, "Millennial", "Gen Z")))</f>
        <v/>
      </c>
      <c r="I676" s="4" t="inlineStr">
        <is>
          <t>Investment</t>
        </is>
      </c>
      <c r="J676" s="4" t="inlineStr">
        <is>
          <t>Utilities</t>
        </is>
      </c>
      <c r="K676" s="6" t="n">
        <v>4201.92</v>
      </c>
      <c r="L676" s="6" t="n">
        <v>34943.56</v>
      </c>
      <c r="M676" s="4" t="inlineStr">
        <is>
          <t>Mobile App</t>
        </is>
      </c>
      <c r="N676" s="4" t="inlineStr">
        <is>
          <t>N</t>
        </is>
      </c>
      <c r="O676" s="4">
        <f>TEXT(D676, "dddd")</f>
        <v/>
      </c>
      <c r="P676" s="4">
        <f>"Q"&amp;ROUNDUP(MONTH(D676)/3, 0)</f>
        <v/>
      </c>
    </row>
    <row r="677">
      <c r="A677" s="7" t="inlineStr">
        <is>
          <t>TXN100680</t>
        </is>
      </c>
      <c r="B677" s="7" t="inlineStr">
        <is>
          <t>CUST0680</t>
        </is>
      </c>
      <c r="C677" s="7" t="inlineStr">
        <is>
          <t>2026-06-01 03:36:00</t>
        </is>
      </c>
      <c r="D677" s="7">
        <f>TEXT(LEFT(C677,10),"YYYY-MM-DD")</f>
        <v/>
      </c>
      <c r="E677" s="8">
        <f>HOUR(C677)</f>
        <v/>
      </c>
      <c r="F677" s="7" t="inlineStr">
        <is>
          <t>Male</t>
        </is>
      </c>
      <c r="G677" s="8" t="n">
        <v>50</v>
      </c>
      <c r="H677" s="7">
        <f>IF(G677&gt;=60, "Boomer", IF(G677&gt;=45, "Gen X", IF(G677&gt;=25, "Millennial", "Gen Z")))</f>
        <v/>
      </c>
      <c r="I677" s="7" t="inlineStr">
        <is>
          <t>Investment</t>
        </is>
      </c>
      <c r="J677" s="7" t="inlineStr">
        <is>
          <t>Travel</t>
        </is>
      </c>
      <c r="K677" s="9" t="n">
        <v>7471.79</v>
      </c>
      <c r="L677" s="9" t="n">
        <v>49320.78</v>
      </c>
      <c r="M677" s="7" t="inlineStr">
        <is>
          <t>Branch Office</t>
        </is>
      </c>
      <c r="N677" s="7" t="inlineStr">
        <is>
          <t>N</t>
        </is>
      </c>
      <c r="O677" s="7">
        <f>TEXT(D677, "dddd")</f>
        <v/>
      </c>
      <c r="P677" s="7">
        <f>"Q"&amp;ROUNDUP(MONTH(D677)/3, 0)</f>
        <v/>
      </c>
    </row>
    <row r="678">
      <c r="A678" s="4" t="inlineStr">
        <is>
          <t>TXN100681</t>
        </is>
      </c>
      <c r="B678" s="4" t="inlineStr">
        <is>
          <t>CUST0681</t>
        </is>
      </c>
      <c r="C678" s="4" t="inlineStr">
        <is>
          <t>2026-06-01 10:16:00</t>
        </is>
      </c>
      <c r="D678" s="4">
        <f>TEXT(LEFT(C678,10),"YYYY-MM-DD")</f>
        <v/>
      </c>
      <c r="E678" s="5">
        <f>HOUR(C678)</f>
        <v/>
      </c>
      <c r="F678" s="4" t="inlineStr">
        <is>
          <t>Female</t>
        </is>
      </c>
      <c r="G678" s="5" t="n">
        <v>28</v>
      </c>
      <c r="H678" s="4">
        <f>IF(G678&gt;=60, "Boomer", IF(G678&gt;=45, "Gen X", IF(G678&gt;=25, "Millennial", "Gen Z")))</f>
        <v/>
      </c>
      <c r="I678" s="4" t="inlineStr">
        <is>
          <t>Investment</t>
        </is>
      </c>
      <c r="J678" s="4" t="inlineStr">
        <is>
          <t>Travel</t>
        </is>
      </c>
      <c r="K678" s="6" t="n">
        <v>3976.21</v>
      </c>
      <c r="L678" s="6" t="n">
        <v>36594.64</v>
      </c>
      <c r="M678" s="4" t="inlineStr">
        <is>
          <t>ATM</t>
        </is>
      </c>
      <c r="N678" s="4" t="inlineStr">
        <is>
          <t>N</t>
        </is>
      </c>
      <c r="O678" s="4">
        <f>TEXT(D678, "dddd")</f>
        <v/>
      </c>
      <c r="P678" s="4">
        <f>"Q"&amp;ROUNDUP(MONTH(D678)/3, 0)</f>
        <v/>
      </c>
    </row>
    <row r="679">
      <c r="A679" s="7" t="inlineStr">
        <is>
          <t>TXN100682</t>
        </is>
      </c>
      <c r="B679" s="7" t="inlineStr">
        <is>
          <t>CUST0682</t>
        </is>
      </c>
      <c r="C679" s="7" t="inlineStr">
        <is>
          <t>2026-06-01 15:51:00</t>
        </is>
      </c>
      <c r="D679" s="7">
        <f>TEXT(LEFT(C679,10),"YYYY-MM-DD")</f>
        <v/>
      </c>
      <c r="E679" s="8">
        <f>HOUR(C679)</f>
        <v/>
      </c>
      <c r="F679" s="7" t="inlineStr">
        <is>
          <t>Male</t>
        </is>
      </c>
      <c r="G679" s="8" t="n">
        <v>59</v>
      </c>
      <c r="H679" s="7">
        <f>IF(G679&gt;=60, "Boomer", IF(G679&gt;=45, "Gen X", IF(G679&gt;=25, "Millennial", "Gen Z")))</f>
        <v/>
      </c>
      <c r="I679" s="7" t="inlineStr">
        <is>
          <t>Savings</t>
        </is>
      </c>
      <c r="J679" s="7" t="inlineStr">
        <is>
          <t>Entertainment</t>
        </is>
      </c>
      <c r="K679" s="9" t="n">
        <v>7834.27</v>
      </c>
      <c r="L679" s="9" t="n">
        <v>578.26</v>
      </c>
      <c r="M679" s="7" t="inlineStr">
        <is>
          <t>Mobile App</t>
        </is>
      </c>
      <c r="N679" s="7" t="inlineStr">
        <is>
          <t>N</t>
        </is>
      </c>
      <c r="O679" s="7">
        <f>TEXT(D679, "dddd")</f>
        <v/>
      </c>
      <c r="P679" s="7">
        <f>"Q"&amp;ROUNDUP(MONTH(D679)/3, 0)</f>
        <v/>
      </c>
    </row>
    <row r="680">
      <c r="A680" s="4" t="inlineStr">
        <is>
          <t>TXN100683</t>
        </is>
      </c>
      <c r="B680" s="4" t="inlineStr">
        <is>
          <t>CUST0683</t>
        </is>
      </c>
      <c r="C680" s="4" t="inlineStr">
        <is>
          <t>2026-06-01 03:47:00</t>
        </is>
      </c>
      <c r="D680" s="4">
        <f>TEXT(LEFT(C680,10),"YYYY-MM-DD")</f>
        <v/>
      </c>
      <c r="E680" s="5">
        <f>HOUR(C680)</f>
        <v/>
      </c>
      <c r="F680" s="4" t="inlineStr">
        <is>
          <t>Female</t>
        </is>
      </c>
      <c r="G680" s="5" t="n">
        <v>71</v>
      </c>
      <c r="H680" s="4">
        <f>IF(G680&gt;=60, "Boomer", IF(G680&gt;=45, "Gen X", IF(G680&gt;=25, "Millennial", "Gen Z")))</f>
        <v/>
      </c>
      <c r="I680" s="4" t="inlineStr">
        <is>
          <t>Investment</t>
        </is>
      </c>
      <c r="J680" s="4" t="inlineStr">
        <is>
          <t>Utilities</t>
        </is>
      </c>
      <c r="K680" s="6" t="n">
        <v>3318.19</v>
      </c>
      <c r="L680" s="6" t="n">
        <v>17022.72</v>
      </c>
      <c r="M680" s="4" t="inlineStr">
        <is>
          <t>Online Banking</t>
        </is>
      </c>
      <c r="N680" s="4" t="inlineStr">
        <is>
          <t>N</t>
        </is>
      </c>
      <c r="O680" s="4">
        <f>TEXT(D680, "dddd")</f>
        <v/>
      </c>
      <c r="P680" s="4">
        <f>"Q"&amp;ROUNDUP(MONTH(D680)/3, 0)</f>
        <v/>
      </c>
    </row>
    <row r="681">
      <c r="A681" s="7" t="inlineStr">
        <is>
          <t>TXN100684</t>
        </is>
      </c>
      <c r="B681" s="7" t="inlineStr">
        <is>
          <t>CUST0684</t>
        </is>
      </c>
      <c r="C681" s="7" t="inlineStr">
        <is>
          <t>2026-06-01 00:40:00</t>
        </is>
      </c>
      <c r="D681" s="7">
        <f>TEXT(LEFT(C681,10),"YYYY-MM-DD")</f>
        <v/>
      </c>
      <c r="E681" s="8">
        <f>HOUR(C681)</f>
        <v/>
      </c>
      <c r="F681" s="7" t="inlineStr">
        <is>
          <t>Female</t>
        </is>
      </c>
      <c r="G681" s="8" t="n">
        <v>64</v>
      </c>
      <c r="H681" s="7">
        <f>IF(G681&gt;=60, "Boomer", IF(G681&gt;=45, "Gen X", IF(G681&gt;=25, "Millennial", "Gen Z")))</f>
        <v/>
      </c>
      <c r="I681" s="7" t="inlineStr">
        <is>
          <t>Checking</t>
        </is>
      </c>
      <c r="J681" s="7" t="inlineStr">
        <is>
          <t>Entertainment</t>
        </is>
      </c>
      <c r="K681" s="9" t="n">
        <v>6323.66</v>
      </c>
      <c r="L681" s="9" t="n">
        <v>15734.74</v>
      </c>
      <c r="M681" s="7" t="inlineStr">
        <is>
          <t>Branch Office</t>
        </is>
      </c>
      <c r="N681" s="7" t="inlineStr">
        <is>
          <t>N</t>
        </is>
      </c>
      <c r="O681" s="7">
        <f>TEXT(D681, "dddd")</f>
        <v/>
      </c>
      <c r="P681" s="7">
        <f>"Q"&amp;ROUNDUP(MONTH(D681)/3, 0)</f>
        <v/>
      </c>
    </row>
    <row r="682">
      <c r="A682" s="4" t="inlineStr">
        <is>
          <t>TXN100685</t>
        </is>
      </c>
      <c r="B682" s="4" t="inlineStr">
        <is>
          <t>CUST0685</t>
        </is>
      </c>
      <c r="C682" s="4" t="inlineStr">
        <is>
          <t>2026-06-01 00:07:00</t>
        </is>
      </c>
      <c r="D682" s="4">
        <f>TEXT(LEFT(C682,10),"YYYY-MM-DD")</f>
        <v/>
      </c>
      <c r="E682" s="5">
        <f>HOUR(C682)</f>
        <v/>
      </c>
      <c r="F682" s="4" t="inlineStr">
        <is>
          <t>Female</t>
        </is>
      </c>
      <c r="G682" s="5" t="n">
        <v>41</v>
      </c>
      <c r="H682" s="4">
        <f>IF(G682&gt;=60, "Boomer", IF(G682&gt;=45, "Gen X", IF(G682&gt;=25, "Millennial", "Gen Z")))</f>
        <v/>
      </c>
      <c r="I682" s="4" t="inlineStr">
        <is>
          <t>Checking</t>
        </is>
      </c>
      <c r="J682" s="4" t="inlineStr">
        <is>
          <t>Travel</t>
        </is>
      </c>
      <c r="K682" s="6" t="n">
        <v>4931.79</v>
      </c>
      <c r="L682" s="6" t="n">
        <v>1941.31</v>
      </c>
      <c r="M682" s="4" t="inlineStr">
        <is>
          <t>Online Banking</t>
        </is>
      </c>
      <c r="N682" s="4" t="inlineStr">
        <is>
          <t>N</t>
        </is>
      </c>
      <c r="O682" s="4">
        <f>TEXT(D682, "dddd")</f>
        <v/>
      </c>
      <c r="P682" s="4">
        <f>"Q"&amp;ROUNDUP(MONTH(D682)/3, 0)</f>
        <v/>
      </c>
    </row>
    <row r="683">
      <c r="A683" s="7" t="inlineStr">
        <is>
          <t>TXN100686</t>
        </is>
      </c>
      <c r="B683" s="7" t="inlineStr">
        <is>
          <t>CUST0686</t>
        </is>
      </c>
      <c r="C683" s="7" t="inlineStr">
        <is>
          <t>2026-06-01 06:21:00</t>
        </is>
      </c>
      <c r="D683" s="7">
        <f>TEXT(LEFT(C683,10),"YYYY-MM-DD")</f>
        <v/>
      </c>
      <c r="E683" s="8">
        <f>HOUR(C683)</f>
        <v/>
      </c>
      <c r="F683" s="7" t="inlineStr">
        <is>
          <t>Female</t>
        </is>
      </c>
      <c r="G683" s="8" t="n">
        <v>63</v>
      </c>
      <c r="H683" s="7">
        <f>IF(G683&gt;=60, "Boomer", IF(G683&gt;=45, "Gen X", IF(G683&gt;=25, "Millennial", "Gen Z")))</f>
        <v/>
      </c>
      <c r="I683" s="7" t="inlineStr">
        <is>
          <t>Checking</t>
        </is>
      </c>
      <c r="J683" s="7" t="inlineStr">
        <is>
          <t>Utilities</t>
        </is>
      </c>
      <c r="K683" s="9" t="n">
        <v>6380.06</v>
      </c>
      <c r="L683" s="9" t="n">
        <v>32459.78</v>
      </c>
      <c r="M683" s="7" t="inlineStr">
        <is>
          <t>ATM</t>
        </is>
      </c>
      <c r="N683" s="7" t="inlineStr">
        <is>
          <t>N</t>
        </is>
      </c>
      <c r="O683" s="7">
        <f>TEXT(D683, "dddd")</f>
        <v/>
      </c>
      <c r="P683" s="7">
        <f>"Q"&amp;ROUNDUP(MONTH(D683)/3, 0)</f>
        <v/>
      </c>
    </row>
    <row r="684">
      <c r="A684" s="4" t="inlineStr">
        <is>
          <t>TXN100687</t>
        </is>
      </c>
      <c r="B684" s="4" t="inlineStr">
        <is>
          <t>CUST0687</t>
        </is>
      </c>
      <c r="C684" s="4" t="inlineStr">
        <is>
          <t>2026-06-01 04:40:00</t>
        </is>
      </c>
      <c r="D684" s="4">
        <f>TEXT(LEFT(C684,10),"YYYY-MM-DD")</f>
        <v/>
      </c>
      <c r="E684" s="5">
        <f>HOUR(C684)</f>
        <v/>
      </c>
      <c r="F684" s="4" t="inlineStr">
        <is>
          <t>Unspecified</t>
        </is>
      </c>
      <c r="G684" s="5" t="n">
        <v>75</v>
      </c>
      <c r="H684" s="4">
        <f>IF(G684&gt;=60, "Boomer", IF(G684&gt;=45, "Gen X", IF(G684&gt;=25, "Millennial", "Gen Z")))</f>
        <v/>
      </c>
      <c r="I684" s="4" t="inlineStr">
        <is>
          <t>Investment</t>
        </is>
      </c>
      <c r="J684" s="4" t="inlineStr">
        <is>
          <t>Entertainment</t>
        </is>
      </c>
      <c r="K684" s="6" t="n">
        <v>3705.14</v>
      </c>
      <c r="L684" s="6" t="n">
        <v>40801.25</v>
      </c>
      <c r="M684" s="4" t="inlineStr">
        <is>
          <t>Mobile App</t>
        </is>
      </c>
      <c r="N684" s="4" t="inlineStr">
        <is>
          <t>N</t>
        </is>
      </c>
      <c r="O684" s="4">
        <f>TEXT(D684, "dddd")</f>
        <v/>
      </c>
      <c r="P684" s="4">
        <f>"Q"&amp;ROUNDUP(MONTH(D684)/3, 0)</f>
        <v/>
      </c>
    </row>
    <row r="685">
      <c r="A685" s="7" t="inlineStr">
        <is>
          <t>TXN100688</t>
        </is>
      </c>
      <c r="B685" s="7" t="inlineStr">
        <is>
          <t>CUST0688</t>
        </is>
      </c>
      <c r="C685" s="7" t="inlineStr">
        <is>
          <t>2026-06-01 16:19:00</t>
        </is>
      </c>
      <c r="D685" s="7">
        <f>TEXT(LEFT(C685,10),"YYYY-MM-DD")</f>
        <v/>
      </c>
      <c r="E685" s="8">
        <f>HOUR(C685)</f>
        <v/>
      </c>
      <c r="F685" s="7" t="inlineStr">
        <is>
          <t>Female</t>
        </is>
      </c>
      <c r="G685" s="8" t="n">
        <v>55</v>
      </c>
      <c r="H685" s="7">
        <f>IF(G685&gt;=60, "Boomer", IF(G685&gt;=45, "Gen X", IF(G685&gt;=25, "Millennial", "Gen Z")))</f>
        <v/>
      </c>
      <c r="I685" s="7" t="inlineStr">
        <is>
          <t>Investment</t>
        </is>
      </c>
      <c r="J685" s="7" t="inlineStr">
        <is>
          <t>Groceries</t>
        </is>
      </c>
      <c r="K685" s="9" t="n">
        <v>1674.02</v>
      </c>
      <c r="L685" s="9" t="n">
        <v>34431.92</v>
      </c>
      <c r="M685" s="7" t="inlineStr">
        <is>
          <t>Branch Office</t>
        </is>
      </c>
      <c r="N685" s="7" t="inlineStr">
        <is>
          <t>N</t>
        </is>
      </c>
      <c r="O685" s="7">
        <f>TEXT(D685, "dddd")</f>
        <v/>
      </c>
      <c r="P685" s="7">
        <f>"Q"&amp;ROUNDUP(MONTH(D685)/3, 0)</f>
        <v/>
      </c>
    </row>
    <row r="686">
      <c r="A686" s="4" t="inlineStr">
        <is>
          <t>TXN100689</t>
        </is>
      </c>
      <c r="B686" s="4" t="inlineStr">
        <is>
          <t>CUST0689</t>
        </is>
      </c>
      <c r="C686" s="4" t="inlineStr">
        <is>
          <t>2026-06-01 02:09:00</t>
        </is>
      </c>
      <c r="D686" s="4">
        <f>TEXT(LEFT(C686,10),"YYYY-MM-DD")</f>
        <v/>
      </c>
      <c r="E686" s="5">
        <f>HOUR(C686)</f>
        <v/>
      </c>
      <c r="F686" s="4" t="inlineStr">
        <is>
          <t>Female</t>
        </is>
      </c>
      <c r="G686" s="5" t="n">
        <v>73</v>
      </c>
      <c r="H686" s="4">
        <f>IF(G686&gt;=60, "Boomer", IF(G686&gt;=45, "Gen X", IF(G686&gt;=25, "Millennial", "Gen Z")))</f>
        <v/>
      </c>
      <c r="I686" s="4" t="inlineStr">
        <is>
          <t>Savings</t>
        </is>
      </c>
      <c r="J686" s="4" t="inlineStr">
        <is>
          <t>Entertainment</t>
        </is>
      </c>
      <c r="K686" s="6" t="n">
        <v>7869.11</v>
      </c>
      <c r="L686" s="6" t="n">
        <v>31512.29</v>
      </c>
      <c r="M686" s="4" t="inlineStr">
        <is>
          <t>Online Banking</t>
        </is>
      </c>
      <c r="N686" s="4" t="inlineStr">
        <is>
          <t>Y</t>
        </is>
      </c>
      <c r="O686" s="4">
        <f>TEXT(D686, "dddd")</f>
        <v/>
      </c>
      <c r="P686" s="4">
        <f>"Q"&amp;ROUNDUP(MONTH(D686)/3, 0)</f>
        <v/>
      </c>
    </row>
    <row r="687">
      <c r="A687" s="7" t="inlineStr">
        <is>
          <t>TXN100690</t>
        </is>
      </c>
      <c r="B687" s="7" t="inlineStr">
        <is>
          <t>CUST0690</t>
        </is>
      </c>
      <c r="C687" s="7" t="inlineStr">
        <is>
          <t>2026-06-01 12:11:00</t>
        </is>
      </c>
      <c r="D687" s="7">
        <f>TEXT(LEFT(C687,10),"YYYY-MM-DD")</f>
        <v/>
      </c>
      <c r="E687" s="8">
        <f>HOUR(C687)</f>
        <v/>
      </c>
      <c r="F687" s="7" t="inlineStr">
        <is>
          <t>Male</t>
        </is>
      </c>
      <c r="G687" s="8" t="n">
        <v>75</v>
      </c>
      <c r="H687" s="7">
        <f>IF(G687&gt;=60, "Boomer", IF(G687&gt;=45, "Gen X", IF(G687&gt;=25, "Millennial", "Gen Z")))</f>
        <v/>
      </c>
      <c r="I687" s="7" t="inlineStr">
        <is>
          <t>Checking</t>
        </is>
      </c>
      <c r="J687" s="7" t="inlineStr">
        <is>
          <t>Entertainment</t>
        </is>
      </c>
      <c r="K687" s="9" t="n">
        <v>5681.62</v>
      </c>
      <c r="L687" s="9" t="n">
        <v>13939.12</v>
      </c>
      <c r="M687" s="7" t="inlineStr">
        <is>
          <t>Mobile App</t>
        </is>
      </c>
      <c r="N687" s="7" t="inlineStr">
        <is>
          <t>N</t>
        </is>
      </c>
      <c r="O687" s="7">
        <f>TEXT(D687, "dddd")</f>
        <v/>
      </c>
      <c r="P687" s="7">
        <f>"Q"&amp;ROUNDUP(MONTH(D687)/3, 0)</f>
        <v/>
      </c>
    </row>
    <row r="688">
      <c r="A688" s="4" t="inlineStr">
        <is>
          <t>TXN100691</t>
        </is>
      </c>
      <c r="B688" s="4" t="inlineStr">
        <is>
          <t>CUST0691</t>
        </is>
      </c>
      <c r="C688" s="4" t="inlineStr">
        <is>
          <t>2026-06-01 15:56:00</t>
        </is>
      </c>
      <c r="D688" s="4">
        <f>TEXT(LEFT(C688,10),"YYYY-MM-DD")</f>
        <v/>
      </c>
      <c r="E688" s="5">
        <f>HOUR(C688)</f>
        <v/>
      </c>
      <c r="F688" s="4" t="inlineStr">
        <is>
          <t>Female</t>
        </is>
      </c>
      <c r="G688" s="5" t="n">
        <v>43</v>
      </c>
      <c r="H688" s="4">
        <f>IF(G688&gt;=60, "Boomer", IF(G688&gt;=45, "Gen X", IF(G688&gt;=25, "Millennial", "Gen Z")))</f>
        <v/>
      </c>
      <c r="I688" s="4" t="inlineStr">
        <is>
          <t>Checking</t>
        </is>
      </c>
      <c r="J688" s="4" t="inlineStr">
        <is>
          <t>Entertainment</t>
        </is>
      </c>
      <c r="K688" s="6" t="n">
        <v>1736.96</v>
      </c>
      <c r="L688" s="6" t="n">
        <v>15464.76</v>
      </c>
      <c r="M688" s="4" t="inlineStr">
        <is>
          <t>Mobile App</t>
        </is>
      </c>
      <c r="N688" s="4" t="inlineStr">
        <is>
          <t>N</t>
        </is>
      </c>
      <c r="O688" s="4">
        <f>TEXT(D688, "dddd")</f>
        <v/>
      </c>
      <c r="P688" s="4">
        <f>"Q"&amp;ROUNDUP(MONTH(D688)/3, 0)</f>
        <v/>
      </c>
    </row>
    <row r="689">
      <c r="A689" s="7" t="inlineStr">
        <is>
          <t>TXN100692</t>
        </is>
      </c>
      <c r="B689" s="7" t="inlineStr">
        <is>
          <t>CUST0692</t>
        </is>
      </c>
      <c r="C689" s="7" t="inlineStr">
        <is>
          <t>2026-06-01 11:50:00</t>
        </is>
      </c>
      <c r="D689" s="7">
        <f>TEXT(LEFT(C689,10),"YYYY-MM-DD")</f>
        <v/>
      </c>
      <c r="E689" s="8">
        <f>HOUR(C689)</f>
        <v/>
      </c>
      <c r="F689" s="7" t="inlineStr">
        <is>
          <t>Male</t>
        </is>
      </c>
      <c r="G689" s="8" t="n">
        <v>69</v>
      </c>
      <c r="H689" s="7">
        <f>IF(G689&gt;=60, "Boomer", IF(G689&gt;=45, "Gen X", IF(G689&gt;=25, "Millennial", "Gen Z")))</f>
        <v/>
      </c>
      <c r="I689" s="7" t="inlineStr">
        <is>
          <t>Savings</t>
        </is>
      </c>
      <c r="J689" s="7" t="inlineStr">
        <is>
          <t>Groceries</t>
        </is>
      </c>
      <c r="K689" s="9" t="n">
        <v>3555.76</v>
      </c>
      <c r="L689" s="9" t="n">
        <v>1734.27</v>
      </c>
      <c r="M689" s="7" t="inlineStr">
        <is>
          <t>ATM</t>
        </is>
      </c>
      <c r="N689" s="7" t="inlineStr">
        <is>
          <t>N</t>
        </is>
      </c>
      <c r="O689" s="7">
        <f>TEXT(D689, "dddd")</f>
        <v/>
      </c>
      <c r="P689" s="7">
        <f>"Q"&amp;ROUNDUP(MONTH(D689)/3, 0)</f>
        <v/>
      </c>
    </row>
    <row r="690">
      <c r="A690" s="4" t="inlineStr">
        <is>
          <t>TXN100693</t>
        </is>
      </c>
      <c r="B690" s="4" t="inlineStr">
        <is>
          <t>CUST0693</t>
        </is>
      </c>
      <c r="C690" s="4" t="inlineStr">
        <is>
          <t>2026-06-01 16:09:00</t>
        </is>
      </c>
      <c r="D690" s="4">
        <f>TEXT(LEFT(C690,10),"YYYY-MM-DD")</f>
        <v/>
      </c>
      <c r="E690" s="5">
        <f>HOUR(C690)</f>
        <v/>
      </c>
      <c r="F690" s="4" t="inlineStr">
        <is>
          <t>Female</t>
        </is>
      </c>
      <c r="G690" s="5" t="n">
        <v>41</v>
      </c>
      <c r="H690" s="4">
        <f>IF(G690&gt;=60, "Boomer", IF(G690&gt;=45, "Gen X", IF(G690&gt;=25, "Millennial", "Gen Z")))</f>
        <v/>
      </c>
      <c r="I690" s="4" t="inlineStr">
        <is>
          <t>Checking</t>
        </is>
      </c>
      <c r="J690" s="4" t="inlineStr">
        <is>
          <t>Travel</t>
        </is>
      </c>
      <c r="K690" s="6" t="n">
        <v>2489.77</v>
      </c>
      <c r="L690" s="6" t="n">
        <v>16703.23</v>
      </c>
      <c r="M690" s="4" t="inlineStr">
        <is>
          <t>Mobile App</t>
        </is>
      </c>
      <c r="N690" s="4" t="inlineStr">
        <is>
          <t>N</t>
        </is>
      </c>
      <c r="O690" s="4">
        <f>TEXT(D690, "dddd")</f>
        <v/>
      </c>
      <c r="P690" s="4">
        <f>"Q"&amp;ROUNDUP(MONTH(D690)/3, 0)</f>
        <v/>
      </c>
    </row>
    <row r="691">
      <c r="A691" s="7" t="inlineStr">
        <is>
          <t>TXN100694</t>
        </is>
      </c>
      <c r="B691" s="7" t="inlineStr">
        <is>
          <t>CUST0694</t>
        </is>
      </c>
      <c r="C691" s="7" t="inlineStr">
        <is>
          <t>2026-06-01 16:43:00</t>
        </is>
      </c>
      <c r="D691" s="7">
        <f>TEXT(LEFT(C691,10),"YYYY-MM-DD")</f>
        <v/>
      </c>
      <c r="E691" s="8">
        <f>HOUR(C691)</f>
        <v/>
      </c>
      <c r="F691" s="7" t="inlineStr">
        <is>
          <t>Male</t>
        </is>
      </c>
      <c r="G691" s="8" t="n">
        <v>33</v>
      </c>
      <c r="H691" s="7">
        <f>IF(G691&gt;=60, "Boomer", IF(G691&gt;=45, "Gen X", IF(G691&gt;=25, "Millennial", "Gen Z")))</f>
        <v/>
      </c>
      <c r="I691" s="7" t="inlineStr">
        <is>
          <t>Investment</t>
        </is>
      </c>
      <c r="J691" s="7" t="inlineStr">
        <is>
          <t>Groceries</t>
        </is>
      </c>
      <c r="K691" s="9" t="n">
        <v>3680.35</v>
      </c>
      <c r="L691" s="9" t="n">
        <v>35827.03</v>
      </c>
      <c r="M691" s="7" t="inlineStr">
        <is>
          <t>Mobile App</t>
        </is>
      </c>
      <c r="N691" s="7" t="inlineStr">
        <is>
          <t>N</t>
        </is>
      </c>
      <c r="O691" s="7">
        <f>TEXT(D691, "dddd")</f>
        <v/>
      </c>
      <c r="P691" s="7">
        <f>"Q"&amp;ROUNDUP(MONTH(D691)/3, 0)</f>
        <v/>
      </c>
    </row>
    <row r="692">
      <c r="A692" s="4" t="inlineStr">
        <is>
          <t>TXN100695</t>
        </is>
      </c>
      <c r="B692" s="4" t="inlineStr">
        <is>
          <t>CUST0695</t>
        </is>
      </c>
      <c r="C692" s="4" t="inlineStr">
        <is>
          <t>2026-06-01 00:19:00</t>
        </is>
      </c>
      <c r="D692" s="4">
        <f>TEXT(LEFT(C692,10),"YYYY-MM-DD")</f>
        <v/>
      </c>
      <c r="E692" s="5">
        <f>HOUR(C692)</f>
        <v/>
      </c>
      <c r="F692" s="4" t="inlineStr">
        <is>
          <t>Male</t>
        </is>
      </c>
      <c r="G692" s="5" t="n">
        <v>63</v>
      </c>
      <c r="H692" s="4">
        <f>IF(G692&gt;=60, "Boomer", IF(G692&gt;=45, "Gen X", IF(G692&gt;=25, "Millennial", "Gen Z")))</f>
        <v/>
      </c>
      <c r="I692" s="4" t="inlineStr">
        <is>
          <t>Investment</t>
        </is>
      </c>
      <c r="J692" s="4" t="inlineStr">
        <is>
          <t>Groceries</t>
        </is>
      </c>
      <c r="K692" s="6" t="n">
        <v>2672.99</v>
      </c>
      <c r="L692" s="6" t="n">
        <v>44514.7</v>
      </c>
      <c r="M692" s="4" t="inlineStr">
        <is>
          <t>Mobile App</t>
        </is>
      </c>
      <c r="N692" s="4" t="inlineStr">
        <is>
          <t>N</t>
        </is>
      </c>
      <c r="O692" s="4">
        <f>TEXT(D692, "dddd")</f>
        <v/>
      </c>
      <c r="P692" s="4">
        <f>"Q"&amp;ROUNDUP(MONTH(D692)/3, 0)</f>
        <v/>
      </c>
    </row>
    <row r="693">
      <c r="A693" s="7" t="inlineStr">
        <is>
          <t>TXN100696</t>
        </is>
      </c>
      <c r="B693" s="7" t="inlineStr">
        <is>
          <t>CUST0696</t>
        </is>
      </c>
      <c r="C693" s="7" t="inlineStr">
        <is>
          <t>2026-06-01 16:49:00</t>
        </is>
      </c>
      <c r="D693" s="7">
        <f>TEXT(LEFT(C693,10),"YYYY-MM-DD")</f>
        <v/>
      </c>
      <c r="E693" s="8">
        <f>HOUR(C693)</f>
        <v/>
      </c>
      <c r="F693" s="7" t="inlineStr">
        <is>
          <t>Female</t>
        </is>
      </c>
      <c r="G693" s="8" t="n">
        <v>21</v>
      </c>
      <c r="H693" s="7">
        <f>IF(G693&gt;=60, "Boomer", IF(G693&gt;=45, "Gen X", IF(G693&gt;=25, "Millennial", "Gen Z")))</f>
        <v/>
      </c>
      <c r="I693" s="7" t="inlineStr">
        <is>
          <t>Investment</t>
        </is>
      </c>
      <c r="J693" s="7" t="inlineStr">
        <is>
          <t>Entertainment</t>
        </is>
      </c>
      <c r="K693" s="9" t="n">
        <v>5114.42</v>
      </c>
      <c r="L693" s="9" t="n">
        <v>10887.36</v>
      </c>
      <c r="M693" s="7" t="inlineStr">
        <is>
          <t>Online Banking</t>
        </is>
      </c>
      <c r="N693" s="7" t="inlineStr">
        <is>
          <t>N</t>
        </is>
      </c>
      <c r="O693" s="7">
        <f>TEXT(D693, "dddd")</f>
        <v/>
      </c>
      <c r="P693" s="7">
        <f>"Q"&amp;ROUNDUP(MONTH(D693)/3, 0)</f>
        <v/>
      </c>
    </row>
    <row r="694">
      <c r="A694" s="4" t="inlineStr">
        <is>
          <t>TXN100697</t>
        </is>
      </c>
      <c r="B694" s="4" t="inlineStr">
        <is>
          <t>CUST0697</t>
        </is>
      </c>
      <c r="C694" s="4" t="inlineStr">
        <is>
          <t>2026-06-01 06:18:00</t>
        </is>
      </c>
      <c r="D694" s="4">
        <f>TEXT(LEFT(C694,10),"YYYY-MM-DD")</f>
        <v/>
      </c>
      <c r="E694" s="5">
        <f>HOUR(C694)</f>
        <v/>
      </c>
      <c r="F694" s="4" t="inlineStr">
        <is>
          <t>Female</t>
        </is>
      </c>
      <c r="G694" s="5" t="n">
        <v>54</v>
      </c>
      <c r="H694" s="4">
        <f>IF(G694&gt;=60, "Boomer", IF(G694&gt;=45, "Gen X", IF(G694&gt;=25, "Millennial", "Gen Z")))</f>
        <v/>
      </c>
      <c r="I694" s="4" t="inlineStr">
        <is>
          <t>Checking</t>
        </is>
      </c>
      <c r="J694" s="4" t="inlineStr">
        <is>
          <t>Utilities</t>
        </is>
      </c>
      <c r="K694" s="6" t="n">
        <v>5372.28</v>
      </c>
      <c r="L694" s="6" t="n">
        <v>13996.38</v>
      </c>
      <c r="M694" s="4" t="inlineStr">
        <is>
          <t>Online Banking</t>
        </is>
      </c>
      <c r="N694" s="4" t="inlineStr">
        <is>
          <t>N</t>
        </is>
      </c>
      <c r="O694" s="4">
        <f>TEXT(D694, "dddd")</f>
        <v/>
      </c>
      <c r="P694" s="4">
        <f>"Q"&amp;ROUNDUP(MONTH(D694)/3, 0)</f>
        <v/>
      </c>
    </row>
    <row r="695">
      <c r="A695" s="7" t="inlineStr">
        <is>
          <t>TXN100698</t>
        </is>
      </c>
      <c r="B695" s="7" t="inlineStr">
        <is>
          <t>CUST0698</t>
        </is>
      </c>
      <c r="C695" s="7" t="inlineStr">
        <is>
          <t>2026-06-01 08:07:00</t>
        </is>
      </c>
      <c r="D695" s="7">
        <f>TEXT(LEFT(C695,10),"YYYY-MM-DD")</f>
        <v/>
      </c>
      <c r="E695" s="8">
        <f>HOUR(C695)</f>
        <v/>
      </c>
      <c r="F695" s="7" t="inlineStr">
        <is>
          <t>Male</t>
        </is>
      </c>
      <c r="G695" s="8" t="n">
        <v>59</v>
      </c>
      <c r="H695" s="7">
        <f>IF(G695&gt;=60, "Boomer", IF(G695&gt;=45, "Gen X", IF(G695&gt;=25, "Millennial", "Gen Z")))</f>
        <v/>
      </c>
      <c r="I695" s="7" t="inlineStr">
        <is>
          <t>Investment</t>
        </is>
      </c>
      <c r="J695" s="7" t="inlineStr">
        <is>
          <t>Travel</t>
        </is>
      </c>
      <c r="K695" s="9" t="n">
        <v>827.98</v>
      </c>
      <c r="L695" s="9" t="n">
        <v>27355.17</v>
      </c>
      <c r="M695" s="7" t="inlineStr">
        <is>
          <t>Branch Office</t>
        </is>
      </c>
      <c r="N695" s="7" t="inlineStr">
        <is>
          <t>N</t>
        </is>
      </c>
      <c r="O695" s="7">
        <f>TEXT(D695, "dddd")</f>
        <v/>
      </c>
      <c r="P695" s="7">
        <f>"Q"&amp;ROUNDUP(MONTH(D695)/3, 0)</f>
        <v/>
      </c>
    </row>
    <row r="696">
      <c r="A696" s="4" t="inlineStr">
        <is>
          <t>TXN100699</t>
        </is>
      </c>
      <c r="B696" s="4" t="inlineStr">
        <is>
          <t>CUST0699</t>
        </is>
      </c>
      <c r="C696" s="4" t="inlineStr">
        <is>
          <t>2026-06-01 08:09:00</t>
        </is>
      </c>
      <c r="D696" s="4">
        <f>TEXT(LEFT(C696,10),"YYYY-MM-DD")</f>
        <v/>
      </c>
      <c r="E696" s="5">
        <f>HOUR(C696)</f>
        <v/>
      </c>
      <c r="F696" s="4" t="inlineStr">
        <is>
          <t>Female</t>
        </is>
      </c>
      <c r="G696" s="5" t="n">
        <v>56</v>
      </c>
      <c r="H696" s="4">
        <f>IF(G696&gt;=60, "Boomer", IF(G696&gt;=45, "Gen X", IF(G696&gt;=25, "Millennial", "Gen Z")))</f>
        <v/>
      </c>
      <c r="I696" s="4" t="inlineStr">
        <is>
          <t>Savings</t>
        </is>
      </c>
      <c r="J696" s="4" t="inlineStr">
        <is>
          <t>Groceries</t>
        </is>
      </c>
      <c r="K696" s="6" t="n">
        <v>579.23</v>
      </c>
      <c r="L696" s="6" t="n">
        <v>30856.51</v>
      </c>
      <c r="M696" s="4" t="inlineStr">
        <is>
          <t>Branch Office</t>
        </is>
      </c>
      <c r="N696" s="4" t="inlineStr">
        <is>
          <t>N</t>
        </is>
      </c>
      <c r="O696" s="4">
        <f>TEXT(D696, "dddd")</f>
        <v/>
      </c>
      <c r="P696" s="4">
        <f>"Q"&amp;ROUNDUP(MONTH(D696)/3, 0)</f>
        <v/>
      </c>
    </row>
    <row r="697">
      <c r="A697" s="7" t="inlineStr">
        <is>
          <t>TXN100700</t>
        </is>
      </c>
      <c r="B697" s="7" t="inlineStr">
        <is>
          <t>CUST0700</t>
        </is>
      </c>
      <c r="C697" s="7" t="inlineStr">
        <is>
          <t>2026-06-01 17:28:00</t>
        </is>
      </c>
      <c r="D697" s="7">
        <f>TEXT(LEFT(C697,10),"YYYY-MM-DD")</f>
        <v/>
      </c>
      <c r="E697" s="8">
        <f>HOUR(C697)</f>
        <v/>
      </c>
      <c r="F697" s="7" t="inlineStr">
        <is>
          <t>Male</t>
        </is>
      </c>
      <c r="G697" s="8" t="n">
        <v>28</v>
      </c>
      <c r="H697" s="7">
        <f>IF(G697&gt;=60, "Boomer", IF(G697&gt;=45, "Gen X", IF(G697&gt;=25, "Millennial", "Gen Z")))</f>
        <v/>
      </c>
      <c r="I697" s="7" t="inlineStr">
        <is>
          <t>Savings</t>
        </is>
      </c>
      <c r="J697" s="7" t="inlineStr">
        <is>
          <t>Utilities</t>
        </is>
      </c>
      <c r="K697" s="9" t="n">
        <v>7227.31</v>
      </c>
      <c r="L697" s="9" t="n">
        <v>2997.57</v>
      </c>
      <c r="M697" s="7" t="inlineStr">
        <is>
          <t>ATM</t>
        </is>
      </c>
      <c r="N697" s="7" t="inlineStr">
        <is>
          <t>N</t>
        </is>
      </c>
      <c r="O697" s="7">
        <f>TEXT(D697, "dddd")</f>
        <v/>
      </c>
      <c r="P697" s="7">
        <f>"Q"&amp;ROUNDUP(MONTH(D697)/3, 0)</f>
        <v/>
      </c>
    </row>
    <row r="698">
      <c r="A698" s="4" t="inlineStr">
        <is>
          <t>TXN100701</t>
        </is>
      </c>
      <c r="B698" s="4" t="inlineStr">
        <is>
          <t>CUST0701</t>
        </is>
      </c>
      <c r="C698" s="4" t="inlineStr">
        <is>
          <t>2026-06-01 13:25:00</t>
        </is>
      </c>
      <c r="D698" s="4">
        <f>TEXT(LEFT(C698,10),"YYYY-MM-DD")</f>
        <v/>
      </c>
      <c r="E698" s="5">
        <f>HOUR(C698)</f>
        <v/>
      </c>
      <c r="F698" s="4" t="inlineStr">
        <is>
          <t>Male</t>
        </is>
      </c>
      <c r="G698" s="5" t="n">
        <v>65</v>
      </c>
      <c r="H698" s="4">
        <f>IF(G698&gt;=60, "Boomer", IF(G698&gt;=45, "Gen X", IF(G698&gt;=25, "Millennial", "Gen Z")))</f>
        <v/>
      </c>
      <c r="I698" s="4" t="inlineStr">
        <is>
          <t>Investment</t>
        </is>
      </c>
      <c r="J698" s="4" t="inlineStr">
        <is>
          <t>Travel</t>
        </is>
      </c>
      <c r="K698" s="6" t="n">
        <v>5039.47</v>
      </c>
      <c r="L698" s="6" t="n">
        <v>34661.18</v>
      </c>
      <c r="M698" s="4" t="inlineStr">
        <is>
          <t>ATM</t>
        </is>
      </c>
      <c r="N698" s="4" t="inlineStr">
        <is>
          <t>N</t>
        </is>
      </c>
      <c r="O698" s="4">
        <f>TEXT(D698, "dddd")</f>
        <v/>
      </c>
      <c r="P698" s="4">
        <f>"Q"&amp;ROUNDUP(MONTH(D698)/3, 0)</f>
        <v/>
      </c>
    </row>
    <row r="699">
      <c r="A699" s="7" t="inlineStr">
        <is>
          <t>TXN100702</t>
        </is>
      </c>
      <c r="B699" s="7" t="inlineStr">
        <is>
          <t>CUST0702</t>
        </is>
      </c>
      <c r="C699" s="7" t="inlineStr">
        <is>
          <t>2026-06-01 19:22:00</t>
        </is>
      </c>
      <c r="D699" s="7">
        <f>TEXT(LEFT(C699,10),"YYYY-MM-DD")</f>
        <v/>
      </c>
      <c r="E699" s="8">
        <f>HOUR(C699)</f>
        <v/>
      </c>
      <c r="F699" s="7" t="inlineStr">
        <is>
          <t>Female</t>
        </is>
      </c>
      <c r="G699" s="8" t="n">
        <v>41</v>
      </c>
      <c r="H699" s="7">
        <f>IF(G699&gt;=60, "Boomer", IF(G699&gt;=45, "Gen X", IF(G699&gt;=25, "Millennial", "Gen Z")))</f>
        <v/>
      </c>
      <c r="I699" s="7" t="inlineStr">
        <is>
          <t>Savings</t>
        </is>
      </c>
      <c r="J699" s="7" t="inlineStr">
        <is>
          <t>Travel</t>
        </is>
      </c>
      <c r="K699" s="9" t="n">
        <v>637.58</v>
      </c>
      <c r="L699" s="9" t="n">
        <v>46177.81</v>
      </c>
      <c r="M699" s="7" t="inlineStr">
        <is>
          <t>ATM</t>
        </is>
      </c>
      <c r="N699" s="7" t="inlineStr">
        <is>
          <t>N</t>
        </is>
      </c>
      <c r="O699" s="7">
        <f>TEXT(D699, "dddd")</f>
        <v/>
      </c>
      <c r="P699" s="7">
        <f>"Q"&amp;ROUNDUP(MONTH(D699)/3, 0)</f>
        <v/>
      </c>
    </row>
    <row r="700">
      <c r="A700" s="4" t="inlineStr">
        <is>
          <t>TXN100703</t>
        </is>
      </c>
      <c r="B700" s="4" t="inlineStr">
        <is>
          <t>CUST0703</t>
        </is>
      </c>
      <c r="C700" s="4" t="inlineStr">
        <is>
          <t>2026-06-01 18:08:00</t>
        </is>
      </c>
      <c r="D700" s="4">
        <f>TEXT(LEFT(C700,10),"YYYY-MM-DD")</f>
        <v/>
      </c>
      <c r="E700" s="5">
        <f>HOUR(C700)</f>
        <v/>
      </c>
      <c r="F700" s="4" t="inlineStr">
        <is>
          <t>Male</t>
        </is>
      </c>
      <c r="G700" s="5" t="n">
        <v>72</v>
      </c>
      <c r="H700" s="4">
        <f>IF(G700&gt;=60, "Boomer", IF(G700&gt;=45, "Gen X", IF(G700&gt;=25, "Millennial", "Gen Z")))</f>
        <v/>
      </c>
      <c r="I700" s="4" t="inlineStr">
        <is>
          <t>Investment</t>
        </is>
      </c>
      <c r="J700" s="4" t="inlineStr">
        <is>
          <t>Utilities</t>
        </is>
      </c>
      <c r="K700" s="6" t="n">
        <v>787.13</v>
      </c>
      <c r="L700" s="6" t="n">
        <v>15864.39</v>
      </c>
      <c r="M700" s="4" t="inlineStr">
        <is>
          <t>ATM</t>
        </is>
      </c>
      <c r="N700" s="4" t="inlineStr">
        <is>
          <t>N</t>
        </is>
      </c>
      <c r="O700" s="4">
        <f>TEXT(D700, "dddd")</f>
        <v/>
      </c>
      <c r="P700" s="4">
        <f>"Q"&amp;ROUNDUP(MONTH(D700)/3, 0)</f>
        <v/>
      </c>
    </row>
    <row r="701">
      <c r="A701" s="7" t="inlineStr">
        <is>
          <t>TXN100704</t>
        </is>
      </c>
      <c r="B701" s="7" t="inlineStr">
        <is>
          <t>CUST0704</t>
        </is>
      </c>
      <c r="C701" s="7" t="inlineStr">
        <is>
          <t>2026-06-01 15:14:00</t>
        </is>
      </c>
      <c r="D701" s="7">
        <f>TEXT(LEFT(C701,10),"YYYY-MM-DD")</f>
        <v/>
      </c>
      <c r="E701" s="8">
        <f>HOUR(C701)</f>
        <v/>
      </c>
      <c r="F701" s="7" t="inlineStr">
        <is>
          <t>Female</t>
        </is>
      </c>
      <c r="G701" s="8" t="n">
        <v>29</v>
      </c>
      <c r="H701" s="7">
        <f>IF(G701&gt;=60, "Boomer", IF(G701&gt;=45, "Gen X", IF(G701&gt;=25, "Millennial", "Gen Z")))</f>
        <v/>
      </c>
      <c r="I701" s="7" t="inlineStr">
        <is>
          <t>Investment</t>
        </is>
      </c>
      <c r="J701" s="7" t="inlineStr">
        <is>
          <t>Entertainment</t>
        </is>
      </c>
      <c r="K701" s="9" t="n">
        <v>7303.76</v>
      </c>
      <c r="L701" s="9" t="n">
        <v>19907.81</v>
      </c>
      <c r="M701" s="7" t="inlineStr">
        <is>
          <t>Branch Office</t>
        </is>
      </c>
      <c r="N701" s="7" t="inlineStr">
        <is>
          <t>Y</t>
        </is>
      </c>
      <c r="O701" s="7">
        <f>TEXT(D701, "dddd")</f>
        <v/>
      </c>
      <c r="P701" s="7">
        <f>"Q"&amp;ROUNDUP(MONTH(D701)/3, 0)</f>
        <v/>
      </c>
    </row>
    <row r="702">
      <c r="A702" s="4" t="inlineStr">
        <is>
          <t>TXN100705</t>
        </is>
      </c>
      <c r="B702" s="4" t="inlineStr">
        <is>
          <t>CUST0705</t>
        </is>
      </c>
      <c r="C702" s="4" t="inlineStr">
        <is>
          <t>2026-06-01 10:29:00</t>
        </is>
      </c>
      <c r="D702" s="4">
        <f>TEXT(LEFT(C702,10),"YYYY-MM-DD")</f>
        <v/>
      </c>
      <c r="E702" s="5">
        <f>HOUR(C702)</f>
        <v/>
      </c>
      <c r="F702" s="4" t="inlineStr">
        <is>
          <t>Unspecified</t>
        </is>
      </c>
      <c r="G702" s="5" t="n">
        <v>21</v>
      </c>
      <c r="H702" s="4">
        <f>IF(G702&gt;=60, "Boomer", IF(G702&gt;=45, "Gen X", IF(G702&gt;=25, "Millennial", "Gen Z")))</f>
        <v/>
      </c>
      <c r="I702" s="4" t="inlineStr">
        <is>
          <t>Savings</t>
        </is>
      </c>
      <c r="J702" s="4" t="inlineStr">
        <is>
          <t>Utilities</t>
        </is>
      </c>
      <c r="K702" s="6" t="n">
        <v>911.97</v>
      </c>
      <c r="L702" s="6" t="n">
        <v>24193.28</v>
      </c>
      <c r="M702" s="4" t="inlineStr">
        <is>
          <t>Online Banking</t>
        </is>
      </c>
      <c r="N702" s="4" t="inlineStr">
        <is>
          <t>N</t>
        </is>
      </c>
      <c r="O702" s="4">
        <f>TEXT(D702, "dddd")</f>
        <v/>
      </c>
      <c r="P702" s="4">
        <f>"Q"&amp;ROUNDUP(MONTH(D702)/3, 0)</f>
        <v/>
      </c>
    </row>
    <row r="703">
      <c r="A703" s="7" t="inlineStr">
        <is>
          <t>TXN100706</t>
        </is>
      </c>
      <c r="B703" s="7" t="inlineStr">
        <is>
          <t>CUST0706</t>
        </is>
      </c>
      <c r="C703" s="7" t="inlineStr">
        <is>
          <t>2026-06-01 09:49:00</t>
        </is>
      </c>
      <c r="D703" s="7">
        <f>TEXT(LEFT(C703,10),"YYYY-MM-DD")</f>
        <v/>
      </c>
      <c r="E703" s="8">
        <f>HOUR(C703)</f>
        <v/>
      </c>
      <c r="F703" s="7" t="inlineStr">
        <is>
          <t>Female</t>
        </is>
      </c>
      <c r="G703" s="8" t="n">
        <v>58</v>
      </c>
      <c r="H703" s="7">
        <f>IF(G703&gt;=60, "Boomer", IF(G703&gt;=45, "Gen X", IF(G703&gt;=25, "Millennial", "Gen Z")))</f>
        <v/>
      </c>
      <c r="I703" s="7" t="inlineStr">
        <is>
          <t>Investment</t>
        </is>
      </c>
      <c r="J703" s="7" t="inlineStr">
        <is>
          <t>Groceries</t>
        </is>
      </c>
      <c r="K703" s="9" t="n">
        <v>4068.52</v>
      </c>
      <c r="L703" s="9" t="n">
        <v>20581.46</v>
      </c>
      <c r="M703" s="7" t="inlineStr">
        <is>
          <t>Mobile App</t>
        </is>
      </c>
      <c r="N703" s="7" t="inlineStr">
        <is>
          <t>N</t>
        </is>
      </c>
      <c r="O703" s="7">
        <f>TEXT(D703, "dddd")</f>
        <v/>
      </c>
      <c r="P703" s="7">
        <f>"Q"&amp;ROUNDUP(MONTH(D703)/3, 0)</f>
        <v/>
      </c>
    </row>
    <row r="704">
      <c r="A704" s="4" t="inlineStr">
        <is>
          <t>TXN100707</t>
        </is>
      </c>
      <c r="B704" s="4" t="inlineStr">
        <is>
          <t>CUST0707</t>
        </is>
      </c>
      <c r="C704" s="4" t="inlineStr">
        <is>
          <t>2026-06-01 10:35:00</t>
        </is>
      </c>
      <c r="D704" s="4">
        <f>TEXT(LEFT(C704,10),"YYYY-MM-DD")</f>
        <v/>
      </c>
      <c r="E704" s="5">
        <f>HOUR(C704)</f>
        <v/>
      </c>
      <c r="F704" s="4" t="inlineStr">
        <is>
          <t>Male</t>
        </is>
      </c>
      <c r="G704" s="5" t="n">
        <v>70</v>
      </c>
      <c r="H704" s="4">
        <f>IF(G704&gt;=60, "Boomer", IF(G704&gt;=45, "Gen X", IF(G704&gt;=25, "Millennial", "Gen Z")))</f>
        <v/>
      </c>
      <c r="I704" s="4" t="inlineStr">
        <is>
          <t>Checking</t>
        </is>
      </c>
      <c r="J704" s="4" t="inlineStr">
        <is>
          <t>Travel</t>
        </is>
      </c>
      <c r="K704" s="6" t="n">
        <v>3693.19</v>
      </c>
      <c r="L704" s="6" t="n">
        <v>29731.53</v>
      </c>
      <c r="M704" s="4" t="inlineStr">
        <is>
          <t>Online Banking</t>
        </is>
      </c>
      <c r="N704" s="4" t="inlineStr">
        <is>
          <t>N</t>
        </is>
      </c>
      <c r="O704" s="4">
        <f>TEXT(D704, "dddd")</f>
        <v/>
      </c>
      <c r="P704" s="4">
        <f>"Q"&amp;ROUNDUP(MONTH(D704)/3, 0)</f>
        <v/>
      </c>
    </row>
    <row r="705">
      <c r="A705" s="7" t="inlineStr">
        <is>
          <t>TXN100708</t>
        </is>
      </c>
      <c r="B705" s="7" t="inlineStr">
        <is>
          <t>CUST0708</t>
        </is>
      </c>
      <c r="C705" s="7" t="inlineStr">
        <is>
          <t>2026-06-01 19:15:00</t>
        </is>
      </c>
      <c r="D705" s="7">
        <f>TEXT(LEFT(C705,10),"YYYY-MM-DD")</f>
        <v/>
      </c>
      <c r="E705" s="8">
        <f>HOUR(C705)</f>
        <v/>
      </c>
      <c r="F705" s="7" t="inlineStr">
        <is>
          <t>Male</t>
        </is>
      </c>
      <c r="G705" s="8" t="n">
        <v>50</v>
      </c>
      <c r="H705" s="7">
        <f>IF(G705&gt;=60, "Boomer", IF(G705&gt;=45, "Gen X", IF(G705&gt;=25, "Millennial", "Gen Z")))</f>
        <v/>
      </c>
      <c r="I705" s="7" t="inlineStr">
        <is>
          <t>Checking</t>
        </is>
      </c>
      <c r="J705" s="7" t="inlineStr">
        <is>
          <t>Groceries</t>
        </is>
      </c>
      <c r="K705" s="9" t="n">
        <v>2732.31</v>
      </c>
      <c r="L705" s="9" t="n">
        <v>40788.83</v>
      </c>
      <c r="M705" s="7" t="inlineStr">
        <is>
          <t>ATM</t>
        </is>
      </c>
      <c r="N705" s="7" t="inlineStr">
        <is>
          <t>N</t>
        </is>
      </c>
      <c r="O705" s="7">
        <f>TEXT(D705, "dddd")</f>
        <v/>
      </c>
      <c r="P705" s="7">
        <f>"Q"&amp;ROUNDUP(MONTH(D705)/3, 0)</f>
        <v/>
      </c>
    </row>
    <row r="706">
      <c r="A706" s="4" t="inlineStr">
        <is>
          <t>TXN100709</t>
        </is>
      </c>
      <c r="B706" s="4" t="inlineStr">
        <is>
          <t>CUST0709</t>
        </is>
      </c>
      <c r="C706" s="4" t="inlineStr">
        <is>
          <t>2026-06-01 13:36:00</t>
        </is>
      </c>
      <c r="D706" s="4">
        <f>TEXT(LEFT(C706,10),"YYYY-MM-DD")</f>
        <v/>
      </c>
      <c r="E706" s="5">
        <f>HOUR(C706)</f>
        <v/>
      </c>
      <c r="F706" s="4" t="inlineStr">
        <is>
          <t>Female</t>
        </is>
      </c>
      <c r="G706" s="5" t="n">
        <v>54</v>
      </c>
      <c r="H706" s="4">
        <f>IF(G706&gt;=60, "Boomer", IF(G706&gt;=45, "Gen X", IF(G706&gt;=25, "Millennial", "Gen Z")))</f>
        <v/>
      </c>
      <c r="I706" s="4" t="inlineStr">
        <is>
          <t>Investment</t>
        </is>
      </c>
      <c r="J706" s="4" t="inlineStr">
        <is>
          <t>Groceries</t>
        </is>
      </c>
      <c r="K706" s="6" t="n">
        <v>1392.95</v>
      </c>
      <c r="L706" s="6" t="n">
        <v>33645.46</v>
      </c>
      <c r="M706" s="4" t="inlineStr">
        <is>
          <t>ATM</t>
        </is>
      </c>
      <c r="N706" s="4" t="inlineStr">
        <is>
          <t>N</t>
        </is>
      </c>
      <c r="O706" s="4">
        <f>TEXT(D706, "dddd")</f>
        <v/>
      </c>
      <c r="P706" s="4">
        <f>"Q"&amp;ROUNDUP(MONTH(D706)/3, 0)</f>
        <v/>
      </c>
    </row>
    <row r="707">
      <c r="A707" s="7" t="inlineStr">
        <is>
          <t>TXN100710</t>
        </is>
      </c>
      <c r="B707" s="7" t="inlineStr">
        <is>
          <t>CUST0710</t>
        </is>
      </c>
      <c r="C707" s="7" t="inlineStr">
        <is>
          <t>2026-06-01 03:37:00</t>
        </is>
      </c>
      <c r="D707" s="7">
        <f>TEXT(LEFT(C707,10),"YYYY-MM-DD")</f>
        <v/>
      </c>
      <c r="E707" s="8">
        <f>HOUR(C707)</f>
        <v/>
      </c>
      <c r="F707" s="7" t="inlineStr">
        <is>
          <t>Unspecified</t>
        </is>
      </c>
      <c r="G707" s="8" t="n">
        <v>40</v>
      </c>
      <c r="H707" s="7">
        <f>IF(G707&gt;=60, "Boomer", IF(G707&gt;=45, "Gen X", IF(G707&gt;=25, "Millennial", "Gen Z")))</f>
        <v/>
      </c>
      <c r="I707" s="7" t="inlineStr">
        <is>
          <t>Investment</t>
        </is>
      </c>
      <c r="J707" s="7" t="inlineStr">
        <is>
          <t>Groceries</t>
        </is>
      </c>
      <c r="K707" s="9" t="n">
        <v>6577.96</v>
      </c>
      <c r="L707" s="9" t="n">
        <v>9220.610000000001</v>
      </c>
      <c r="M707" s="7" t="inlineStr">
        <is>
          <t>ATM</t>
        </is>
      </c>
      <c r="N707" s="7" t="inlineStr">
        <is>
          <t>N</t>
        </is>
      </c>
      <c r="O707" s="7">
        <f>TEXT(D707, "dddd")</f>
        <v/>
      </c>
      <c r="P707" s="7">
        <f>"Q"&amp;ROUNDUP(MONTH(D707)/3, 0)</f>
        <v/>
      </c>
    </row>
    <row r="708">
      <c r="A708" s="4" t="inlineStr">
        <is>
          <t>TXN100711</t>
        </is>
      </c>
      <c r="B708" s="4" t="inlineStr">
        <is>
          <t>CUST0711</t>
        </is>
      </c>
      <c r="C708" s="4" t="inlineStr">
        <is>
          <t>2026-06-01 02:38:00</t>
        </is>
      </c>
      <c r="D708" s="4">
        <f>TEXT(LEFT(C708,10),"YYYY-MM-DD")</f>
        <v/>
      </c>
      <c r="E708" s="5">
        <f>HOUR(C708)</f>
        <v/>
      </c>
      <c r="F708" s="4" t="inlineStr">
        <is>
          <t>Male</t>
        </is>
      </c>
      <c r="G708" s="5" t="n">
        <v>63</v>
      </c>
      <c r="H708" s="4">
        <f>IF(G708&gt;=60, "Boomer", IF(G708&gt;=45, "Gen X", IF(G708&gt;=25, "Millennial", "Gen Z")))</f>
        <v/>
      </c>
      <c r="I708" s="4" t="inlineStr">
        <is>
          <t>Investment</t>
        </is>
      </c>
      <c r="J708" s="4" t="inlineStr">
        <is>
          <t>Utilities</t>
        </is>
      </c>
      <c r="K708" s="6" t="n">
        <v>2625.99</v>
      </c>
      <c r="L708" s="6" t="n">
        <v>32426.96</v>
      </c>
      <c r="M708" s="4" t="inlineStr">
        <is>
          <t>Mobile App</t>
        </is>
      </c>
      <c r="N708" s="4" t="inlineStr">
        <is>
          <t>N</t>
        </is>
      </c>
      <c r="O708" s="4">
        <f>TEXT(D708, "dddd")</f>
        <v/>
      </c>
      <c r="P708" s="4">
        <f>"Q"&amp;ROUNDUP(MONTH(D708)/3, 0)</f>
        <v/>
      </c>
    </row>
    <row r="709">
      <c r="A709" s="7" t="inlineStr">
        <is>
          <t>TXN100712</t>
        </is>
      </c>
      <c r="B709" s="7" t="inlineStr">
        <is>
          <t>CUST0712</t>
        </is>
      </c>
      <c r="C709" s="7" t="inlineStr">
        <is>
          <t>2026-06-01 02:13:00</t>
        </is>
      </c>
      <c r="D709" s="7">
        <f>TEXT(LEFT(C709,10),"YYYY-MM-DD")</f>
        <v/>
      </c>
      <c r="E709" s="8">
        <f>HOUR(C709)</f>
        <v/>
      </c>
      <c r="F709" s="7" t="inlineStr">
        <is>
          <t>Male</t>
        </is>
      </c>
      <c r="G709" s="8" t="n">
        <v>57</v>
      </c>
      <c r="H709" s="7">
        <f>IF(G709&gt;=60, "Boomer", IF(G709&gt;=45, "Gen X", IF(G709&gt;=25, "Millennial", "Gen Z")))</f>
        <v/>
      </c>
      <c r="I709" s="7" t="inlineStr">
        <is>
          <t>Investment</t>
        </is>
      </c>
      <c r="J709" s="7" t="inlineStr">
        <is>
          <t>Groceries</t>
        </is>
      </c>
      <c r="K709" s="9" t="n">
        <v>6059.05</v>
      </c>
      <c r="L709" s="9" t="n">
        <v>33213.63</v>
      </c>
      <c r="M709" s="7" t="inlineStr">
        <is>
          <t>ATM</t>
        </is>
      </c>
      <c r="N709" s="7" t="inlineStr">
        <is>
          <t>N</t>
        </is>
      </c>
      <c r="O709" s="7">
        <f>TEXT(D709, "dddd")</f>
        <v/>
      </c>
      <c r="P709" s="7">
        <f>"Q"&amp;ROUNDUP(MONTH(D709)/3, 0)</f>
        <v/>
      </c>
    </row>
    <row r="710">
      <c r="A710" s="4" t="inlineStr">
        <is>
          <t>TXN100713</t>
        </is>
      </c>
      <c r="B710" s="4" t="inlineStr">
        <is>
          <t>CUST0713</t>
        </is>
      </c>
      <c r="C710" s="4" t="inlineStr">
        <is>
          <t>2026-06-01 17:18:00</t>
        </is>
      </c>
      <c r="D710" s="4">
        <f>TEXT(LEFT(C710,10),"YYYY-MM-DD")</f>
        <v/>
      </c>
      <c r="E710" s="5">
        <f>HOUR(C710)</f>
        <v/>
      </c>
      <c r="F710" s="4" t="inlineStr">
        <is>
          <t>Unspecified</t>
        </is>
      </c>
      <c r="G710" s="5" t="n">
        <v>59</v>
      </c>
      <c r="H710" s="4">
        <f>IF(G710&gt;=60, "Boomer", IF(G710&gt;=45, "Gen X", IF(G710&gt;=25, "Millennial", "Gen Z")))</f>
        <v/>
      </c>
      <c r="I710" s="4" t="inlineStr">
        <is>
          <t>Investment</t>
        </is>
      </c>
      <c r="J710" s="4" t="inlineStr">
        <is>
          <t>Utilities</t>
        </is>
      </c>
      <c r="K710" s="6" t="n">
        <v>1573.38</v>
      </c>
      <c r="L710" s="6" t="n">
        <v>34235.08</v>
      </c>
      <c r="M710" s="4" t="inlineStr">
        <is>
          <t>Branch Office</t>
        </is>
      </c>
      <c r="N710" s="4" t="inlineStr">
        <is>
          <t>N</t>
        </is>
      </c>
      <c r="O710" s="4">
        <f>TEXT(D710, "dddd")</f>
        <v/>
      </c>
      <c r="P710" s="4">
        <f>"Q"&amp;ROUNDUP(MONTH(D710)/3, 0)</f>
        <v/>
      </c>
    </row>
    <row r="711">
      <c r="A711" s="7" t="inlineStr">
        <is>
          <t>TXN100714</t>
        </is>
      </c>
      <c r="B711" s="7" t="inlineStr">
        <is>
          <t>CUST0714</t>
        </is>
      </c>
      <c r="C711" s="7" t="inlineStr">
        <is>
          <t>2026-06-01 09:36:00</t>
        </is>
      </c>
      <c r="D711" s="7">
        <f>TEXT(LEFT(C711,10),"YYYY-MM-DD")</f>
        <v/>
      </c>
      <c r="E711" s="8">
        <f>HOUR(C711)</f>
        <v/>
      </c>
      <c r="F711" s="7" t="inlineStr">
        <is>
          <t>Female</t>
        </is>
      </c>
      <c r="G711" s="8" t="n">
        <v>47</v>
      </c>
      <c r="H711" s="7">
        <f>IF(G711&gt;=60, "Boomer", IF(G711&gt;=45, "Gen X", IF(G711&gt;=25, "Millennial", "Gen Z")))</f>
        <v/>
      </c>
      <c r="I711" s="7" t="inlineStr">
        <is>
          <t>Investment</t>
        </is>
      </c>
      <c r="J711" s="7" t="inlineStr">
        <is>
          <t>Entertainment</t>
        </is>
      </c>
      <c r="K711" s="9" t="n">
        <v>7922.41</v>
      </c>
      <c r="L711" s="9" t="n">
        <v>29344.99</v>
      </c>
      <c r="M711" s="7" t="inlineStr">
        <is>
          <t>ATM</t>
        </is>
      </c>
      <c r="N711" s="7" t="inlineStr">
        <is>
          <t>Y</t>
        </is>
      </c>
      <c r="O711" s="7">
        <f>TEXT(D711, "dddd")</f>
        <v/>
      </c>
      <c r="P711" s="7">
        <f>"Q"&amp;ROUNDUP(MONTH(D711)/3, 0)</f>
        <v/>
      </c>
    </row>
    <row r="712">
      <c r="A712" s="4" t="inlineStr">
        <is>
          <t>TXN100715</t>
        </is>
      </c>
      <c r="B712" s="4" t="inlineStr">
        <is>
          <t>CUST0715</t>
        </is>
      </c>
      <c r="C712" s="4" t="inlineStr">
        <is>
          <t>2026-06-01 09:03:00</t>
        </is>
      </c>
      <c r="D712" s="4">
        <f>TEXT(LEFT(C712,10),"YYYY-MM-DD")</f>
        <v/>
      </c>
      <c r="E712" s="5">
        <f>HOUR(C712)</f>
        <v/>
      </c>
      <c r="F712" s="4" t="inlineStr">
        <is>
          <t>Female</t>
        </is>
      </c>
      <c r="G712" s="5" t="n">
        <v>55</v>
      </c>
      <c r="H712" s="4">
        <f>IF(G712&gt;=60, "Boomer", IF(G712&gt;=45, "Gen X", IF(G712&gt;=25, "Millennial", "Gen Z")))</f>
        <v/>
      </c>
      <c r="I712" s="4" t="inlineStr">
        <is>
          <t>Savings</t>
        </is>
      </c>
      <c r="J712" s="4" t="inlineStr">
        <is>
          <t>Groceries</t>
        </is>
      </c>
      <c r="K712" s="6" t="n">
        <v>5629.8</v>
      </c>
      <c r="L712" s="6" t="n">
        <v>41127.29</v>
      </c>
      <c r="M712" s="4" t="inlineStr">
        <is>
          <t>Branch Office</t>
        </is>
      </c>
      <c r="N712" s="4" t="inlineStr">
        <is>
          <t>N</t>
        </is>
      </c>
      <c r="O712" s="4">
        <f>TEXT(D712, "dddd")</f>
        <v/>
      </c>
      <c r="P712" s="4">
        <f>"Q"&amp;ROUNDUP(MONTH(D712)/3, 0)</f>
        <v/>
      </c>
    </row>
    <row r="713">
      <c r="A713" s="7" t="inlineStr">
        <is>
          <t>TXN100716</t>
        </is>
      </c>
      <c r="B713" s="7" t="inlineStr">
        <is>
          <t>CUST0716</t>
        </is>
      </c>
      <c r="C713" s="7" t="inlineStr">
        <is>
          <t>2026-06-01 03:55:00</t>
        </is>
      </c>
      <c r="D713" s="7">
        <f>TEXT(LEFT(C713,10),"YYYY-MM-DD")</f>
        <v/>
      </c>
      <c r="E713" s="8">
        <f>HOUR(C713)</f>
        <v/>
      </c>
      <c r="F713" s="7" t="inlineStr">
        <is>
          <t>Female</t>
        </is>
      </c>
      <c r="G713" s="8" t="n">
        <v>75</v>
      </c>
      <c r="H713" s="7">
        <f>IF(G713&gt;=60, "Boomer", IF(G713&gt;=45, "Gen X", IF(G713&gt;=25, "Millennial", "Gen Z")))</f>
        <v/>
      </c>
      <c r="I713" s="7" t="inlineStr">
        <is>
          <t>Savings</t>
        </is>
      </c>
      <c r="J713" s="7" t="inlineStr">
        <is>
          <t>Groceries</t>
        </is>
      </c>
      <c r="K713" s="9" t="n">
        <v>3459.41</v>
      </c>
      <c r="L713" s="9" t="n">
        <v>29713.11</v>
      </c>
      <c r="M713" s="7" t="inlineStr">
        <is>
          <t>Branch Office</t>
        </is>
      </c>
      <c r="N713" s="7" t="inlineStr">
        <is>
          <t>N</t>
        </is>
      </c>
      <c r="O713" s="7">
        <f>TEXT(D713, "dddd")</f>
        <v/>
      </c>
      <c r="P713" s="7">
        <f>"Q"&amp;ROUNDUP(MONTH(D713)/3, 0)</f>
        <v/>
      </c>
    </row>
    <row r="714">
      <c r="A714" s="4" t="inlineStr">
        <is>
          <t>TXN100717</t>
        </is>
      </c>
      <c r="B714" s="4" t="inlineStr">
        <is>
          <t>CUST0717</t>
        </is>
      </c>
      <c r="C714" s="4" t="inlineStr">
        <is>
          <t>2026-06-01 22:24:00</t>
        </is>
      </c>
      <c r="D714" s="4">
        <f>TEXT(LEFT(C714,10),"YYYY-MM-DD")</f>
        <v/>
      </c>
      <c r="E714" s="5">
        <f>HOUR(C714)</f>
        <v/>
      </c>
      <c r="F714" s="4" t="inlineStr">
        <is>
          <t>Unspecified</t>
        </is>
      </c>
      <c r="G714" s="5" t="n">
        <v>44</v>
      </c>
      <c r="H714" s="4">
        <f>IF(G714&gt;=60, "Boomer", IF(G714&gt;=45, "Gen X", IF(G714&gt;=25, "Millennial", "Gen Z")))</f>
        <v/>
      </c>
      <c r="I714" s="4" t="inlineStr">
        <is>
          <t>Checking</t>
        </is>
      </c>
      <c r="J714" s="4" t="inlineStr">
        <is>
          <t>Travel</t>
        </is>
      </c>
      <c r="K714" s="6" t="n">
        <v>1697.62</v>
      </c>
      <c r="L714" s="6" t="n">
        <v>9083.799999999999</v>
      </c>
      <c r="M714" s="4" t="inlineStr">
        <is>
          <t>Online Banking</t>
        </is>
      </c>
      <c r="N714" s="4" t="inlineStr">
        <is>
          <t>N</t>
        </is>
      </c>
      <c r="O714" s="4">
        <f>TEXT(D714, "dddd")</f>
        <v/>
      </c>
      <c r="P714" s="4">
        <f>"Q"&amp;ROUNDUP(MONTH(D714)/3, 0)</f>
        <v/>
      </c>
    </row>
    <row r="715">
      <c r="A715" s="7" t="inlineStr">
        <is>
          <t>TXN100718</t>
        </is>
      </c>
      <c r="B715" s="7" t="inlineStr">
        <is>
          <t>CUST0718</t>
        </is>
      </c>
      <c r="C715" s="7" t="inlineStr">
        <is>
          <t>2026-06-01 06:35:00</t>
        </is>
      </c>
      <c r="D715" s="7">
        <f>TEXT(LEFT(C715,10),"YYYY-MM-DD")</f>
        <v/>
      </c>
      <c r="E715" s="8">
        <f>HOUR(C715)</f>
        <v/>
      </c>
      <c r="F715" s="7" t="inlineStr">
        <is>
          <t>Unspecified</t>
        </is>
      </c>
      <c r="G715" s="8" t="n">
        <v>73</v>
      </c>
      <c r="H715" s="7">
        <f>IF(G715&gt;=60, "Boomer", IF(G715&gt;=45, "Gen X", IF(G715&gt;=25, "Millennial", "Gen Z")))</f>
        <v/>
      </c>
      <c r="I715" s="7" t="inlineStr">
        <is>
          <t>Checking</t>
        </is>
      </c>
      <c r="J715" s="7" t="inlineStr">
        <is>
          <t>Utilities</t>
        </is>
      </c>
      <c r="K715" s="9" t="n">
        <v>1242.6</v>
      </c>
      <c r="L715" s="9" t="n">
        <v>49874.07</v>
      </c>
      <c r="M715" s="7" t="inlineStr">
        <is>
          <t>Online Banking</t>
        </is>
      </c>
      <c r="N715" s="7" t="inlineStr">
        <is>
          <t>N</t>
        </is>
      </c>
      <c r="O715" s="7">
        <f>TEXT(D715, "dddd")</f>
        <v/>
      </c>
      <c r="P715" s="7">
        <f>"Q"&amp;ROUNDUP(MONTH(D715)/3, 0)</f>
        <v/>
      </c>
    </row>
    <row r="716">
      <c r="A716" s="4" t="inlineStr">
        <is>
          <t>TXN100719</t>
        </is>
      </c>
      <c r="B716" s="4" t="inlineStr">
        <is>
          <t>CUST0719</t>
        </is>
      </c>
      <c r="C716" s="4" t="inlineStr">
        <is>
          <t>2026-06-01 04:00:00</t>
        </is>
      </c>
      <c r="D716" s="4">
        <f>TEXT(LEFT(C716,10),"YYYY-MM-DD")</f>
        <v/>
      </c>
      <c r="E716" s="5">
        <f>HOUR(C716)</f>
        <v/>
      </c>
      <c r="F716" s="4" t="inlineStr">
        <is>
          <t>Male</t>
        </is>
      </c>
      <c r="G716" s="5" t="n">
        <v>61</v>
      </c>
      <c r="H716" s="4">
        <f>IF(G716&gt;=60, "Boomer", IF(G716&gt;=45, "Gen X", IF(G716&gt;=25, "Millennial", "Gen Z")))</f>
        <v/>
      </c>
      <c r="I716" s="4" t="inlineStr">
        <is>
          <t>Savings</t>
        </is>
      </c>
      <c r="J716" s="4" t="inlineStr">
        <is>
          <t>Groceries</t>
        </is>
      </c>
      <c r="K716" s="6" t="n">
        <v>5773.5</v>
      </c>
      <c r="L716" s="6" t="n">
        <v>24591.72</v>
      </c>
      <c r="M716" s="4" t="inlineStr">
        <is>
          <t>ATM</t>
        </is>
      </c>
      <c r="N716" s="4" t="inlineStr">
        <is>
          <t>N</t>
        </is>
      </c>
      <c r="O716" s="4">
        <f>TEXT(D716, "dddd")</f>
        <v/>
      </c>
      <c r="P716" s="4">
        <f>"Q"&amp;ROUNDUP(MONTH(D716)/3, 0)</f>
        <v/>
      </c>
    </row>
    <row r="717">
      <c r="A717" s="7" t="inlineStr">
        <is>
          <t>TXN100720</t>
        </is>
      </c>
      <c r="B717" s="7" t="inlineStr">
        <is>
          <t>CUST0720</t>
        </is>
      </c>
      <c r="C717" s="7" t="inlineStr">
        <is>
          <t>2026-06-01 04:05:00</t>
        </is>
      </c>
      <c r="D717" s="7">
        <f>TEXT(LEFT(C717,10),"YYYY-MM-DD")</f>
        <v/>
      </c>
      <c r="E717" s="8">
        <f>HOUR(C717)</f>
        <v/>
      </c>
      <c r="F717" s="7" t="inlineStr">
        <is>
          <t>Male</t>
        </is>
      </c>
      <c r="G717" s="8" t="n">
        <v>61</v>
      </c>
      <c r="H717" s="7">
        <f>IF(G717&gt;=60, "Boomer", IF(G717&gt;=45, "Gen X", IF(G717&gt;=25, "Millennial", "Gen Z")))</f>
        <v/>
      </c>
      <c r="I717" s="7" t="inlineStr">
        <is>
          <t>Checking</t>
        </is>
      </c>
      <c r="J717" s="7" t="inlineStr">
        <is>
          <t>Utilities</t>
        </is>
      </c>
      <c r="K717" s="9" t="n">
        <v>7149.72</v>
      </c>
      <c r="L717" s="9" t="n">
        <v>34921.83</v>
      </c>
      <c r="M717" s="7" t="inlineStr">
        <is>
          <t>ATM</t>
        </is>
      </c>
      <c r="N717" s="7" t="inlineStr">
        <is>
          <t>Y</t>
        </is>
      </c>
      <c r="O717" s="7">
        <f>TEXT(D717, "dddd")</f>
        <v/>
      </c>
      <c r="P717" s="7">
        <f>"Q"&amp;ROUNDUP(MONTH(D717)/3, 0)</f>
        <v/>
      </c>
    </row>
    <row r="718">
      <c r="A718" s="4" t="inlineStr">
        <is>
          <t>TXN100721</t>
        </is>
      </c>
      <c r="B718" s="4" t="inlineStr">
        <is>
          <t>CUST0721</t>
        </is>
      </c>
      <c r="C718" s="4" t="inlineStr">
        <is>
          <t>2026-06-01 14:32:00</t>
        </is>
      </c>
      <c r="D718" s="4">
        <f>TEXT(LEFT(C718,10),"YYYY-MM-DD")</f>
        <v/>
      </c>
      <c r="E718" s="5">
        <f>HOUR(C718)</f>
        <v/>
      </c>
      <c r="F718" s="4" t="inlineStr">
        <is>
          <t>Unspecified</t>
        </is>
      </c>
      <c r="G718" s="5" t="n">
        <v>55</v>
      </c>
      <c r="H718" s="4">
        <f>IF(G718&gt;=60, "Boomer", IF(G718&gt;=45, "Gen X", IF(G718&gt;=25, "Millennial", "Gen Z")))</f>
        <v/>
      </c>
      <c r="I718" s="4" t="inlineStr">
        <is>
          <t>Checking</t>
        </is>
      </c>
      <c r="J718" s="4" t="inlineStr">
        <is>
          <t>Utilities</t>
        </is>
      </c>
      <c r="K718" s="6" t="n">
        <v>2848.9</v>
      </c>
      <c r="L718" s="6" t="n">
        <v>9696.66</v>
      </c>
      <c r="M718" s="4" t="inlineStr">
        <is>
          <t>Mobile App</t>
        </is>
      </c>
      <c r="N718" s="4" t="inlineStr">
        <is>
          <t>N</t>
        </is>
      </c>
      <c r="O718" s="4">
        <f>TEXT(D718, "dddd")</f>
        <v/>
      </c>
      <c r="P718" s="4">
        <f>"Q"&amp;ROUNDUP(MONTH(D718)/3, 0)</f>
        <v/>
      </c>
    </row>
    <row r="719">
      <c r="A719" s="7" t="inlineStr">
        <is>
          <t>TXN100722</t>
        </is>
      </c>
      <c r="B719" s="7" t="inlineStr">
        <is>
          <t>CUST0722</t>
        </is>
      </c>
      <c r="C719" s="7" t="inlineStr">
        <is>
          <t>2026-06-01 18:31:00</t>
        </is>
      </c>
      <c r="D719" s="7">
        <f>TEXT(LEFT(C719,10),"YYYY-MM-DD")</f>
        <v/>
      </c>
      <c r="E719" s="8">
        <f>HOUR(C719)</f>
        <v/>
      </c>
      <c r="F719" s="7" t="inlineStr">
        <is>
          <t>Female</t>
        </is>
      </c>
      <c r="G719" s="8" t="n">
        <v>65</v>
      </c>
      <c r="H719" s="7">
        <f>IF(G719&gt;=60, "Boomer", IF(G719&gt;=45, "Gen X", IF(G719&gt;=25, "Millennial", "Gen Z")))</f>
        <v/>
      </c>
      <c r="I719" s="7" t="inlineStr">
        <is>
          <t>Investment</t>
        </is>
      </c>
      <c r="J719" s="7" t="inlineStr">
        <is>
          <t>Entertainment</t>
        </is>
      </c>
      <c r="K719" s="9" t="n">
        <v>3292.59</v>
      </c>
      <c r="L719" s="9" t="n">
        <v>27535.23</v>
      </c>
      <c r="M719" s="7" t="inlineStr">
        <is>
          <t>Branch Office</t>
        </is>
      </c>
      <c r="N719" s="7" t="inlineStr">
        <is>
          <t>N</t>
        </is>
      </c>
      <c r="O719" s="7">
        <f>TEXT(D719, "dddd")</f>
        <v/>
      </c>
      <c r="P719" s="7">
        <f>"Q"&amp;ROUNDUP(MONTH(D719)/3, 0)</f>
        <v/>
      </c>
    </row>
    <row r="720">
      <c r="A720" s="4" t="inlineStr">
        <is>
          <t>TXN100723</t>
        </is>
      </c>
      <c r="B720" s="4" t="inlineStr">
        <is>
          <t>CUST0723</t>
        </is>
      </c>
      <c r="C720" s="4" t="inlineStr">
        <is>
          <t>2026-06-01 01:02:00</t>
        </is>
      </c>
      <c r="D720" s="4">
        <f>TEXT(LEFT(C720,10),"YYYY-MM-DD")</f>
        <v/>
      </c>
      <c r="E720" s="5">
        <f>HOUR(C720)</f>
        <v/>
      </c>
      <c r="F720" s="4" t="inlineStr">
        <is>
          <t>Unspecified</t>
        </is>
      </c>
      <c r="G720" s="5" t="n">
        <v>65</v>
      </c>
      <c r="H720" s="4">
        <f>IF(G720&gt;=60, "Boomer", IF(G720&gt;=45, "Gen X", IF(G720&gt;=25, "Millennial", "Gen Z")))</f>
        <v/>
      </c>
      <c r="I720" s="4" t="inlineStr">
        <is>
          <t>Checking</t>
        </is>
      </c>
      <c r="J720" s="4" t="inlineStr">
        <is>
          <t>Groceries</t>
        </is>
      </c>
      <c r="K720" s="6" t="n">
        <v>4646.35</v>
      </c>
      <c r="L720" s="6" t="n">
        <v>48106.02</v>
      </c>
      <c r="M720" s="4" t="inlineStr">
        <is>
          <t>Mobile App</t>
        </is>
      </c>
      <c r="N720" s="4" t="inlineStr">
        <is>
          <t>N</t>
        </is>
      </c>
      <c r="O720" s="4">
        <f>TEXT(D720, "dddd")</f>
        <v/>
      </c>
      <c r="P720" s="4">
        <f>"Q"&amp;ROUNDUP(MONTH(D720)/3, 0)</f>
        <v/>
      </c>
    </row>
    <row r="721">
      <c r="A721" s="7" t="inlineStr">
        <is>
          <t>TXN100724</t>
        </is>
      </c>
      <c r="B721" s="7" t="inlineStr">
        <is>
          <t>CUST0724</t>
        </is>
      </c>
      <c r="C721" s="7" t="inlineStr">
        <is>
          <t>2026-06-01 04:46:00</t>
        </is>
      </c>
      <c r="D721" s="7">
        <f>TEXT(LEFT(C721,10),"YYYY-MM-DD")</f>
        <v/>
      </c>
      <c r="E721" s="8">
        <f>HOUR(C721)</f>
        <v/>
      </c>
      <c r="F721" s="7" t="inlineStr">
        <is>
          <t>Female</t>
        </is>
      </c>
      <c r="G721" s="8" t="n">
        <v>49</v>
      </c>
      <c r="H721" s="7">
        <f>IF(G721&gt;=60, "Boomer", IF(G721&gt;=45, "Gen X", IF(G721&gt;=25, "Millennial", "Gen Z")))</f>
        <v/>
      </c>
      <c r="I721" s="7" t="inlineStr">
        <is>
          <t>Investment</t>
        </is>
      </c>
      <c r="J721" s="7" t="inlineStr">
        <is>
          <t>Groceries</t>
        </is>
      </c>
      <c r="K721" s="9" t="n">
        <v>4191.62</v>
      </c>
      <c r="L721" s="9" t="n">
        <v>30698.5</v>
      </c>
      <c r="M721" s="7" t="inlineStr">
        <is>
          <t>Online Banking</t>
        </is>
      </c>
      <c r="N721" s="7" t="inlineStr">
        <is>
          <t>N</t>
        </is>
      </c>
      <c r="O721" s="7">
        <f>TEXT(D721, "dddd")</f>
        <v/>
      </c>
      <c r="P721" s="7">
        <f>"Q"&amp;ROUNDUP(MONTH(D721)/3, 0)</f>
        <v/>
      </c>
    </row>
    <row r="722">
      <c r="A722" s="4" t="inlineStr">
        <is>
          <t>TXN100725</t>
        </is>
      </c>
      <c r="B722" s="4" t="inlineStr">
        <is>
          <t>CUST0725</t>
        </is>
      </c>
      <c r="C722" s="4" t="inlineStr">
        <is>
          <t>2026-06-01 15:40:00</t>
        </is>
      </c>
      <c r="D722" s="4">
        <f>TEXT(LEFT(C722,10),"YYYY-MM-DD")</f>
        <v/>
      </c>
      <c r="E722" s="5">
        <f>HOUR(C722)</f>
        <v/>
      </c>
      <c r="F722" s="4" t="inlineStr">
        <is>
          <t>Male</t>
        </is>
      </c>
      <c r="G722" s="5" t="n">
        <v>63</v>
      </c>
      <c r="H722" s="4">
        <f>IF(G722&gt;=60, "Boomer", IF(G722&gt;=45, "Gen X", IF(G722&gt;=25, "Millennial", "Gen Z")))</f>
        <v/>
      </c>
      <c r="I722" s="4" t="inlineStr">
        <is>
          <t>Investment</t>
        </is>
      </c>
      <c r="J722" s="4" t="inlineStr">
        <is>
          <t>Travel</t>
        </is>
      </c>
      <c r="K722" s="6" t="n">
        <v>6386.8</v>
      </c>
      <c r="L722" s="6" t="n">
        <v>15968.74</v>
      </c>
      <c r="M722" s="4" t="inlineStr">
        <is>
          <t>Mobile App</t>
        </is>
      </c>
      <c r="N722" s="4" t="inlineStr">
        <is>
          <t>N</t>
        </is>
      </c>
      <c r="O722" s="4">
        <f>TEXT(D722, "dddd")</f>
        <v/>
      </c>
      <c r="P722" s="4">
        <f>"Q"&amp;ROUNDUP(MONTH(D722)/3, 0)</f>
        <v/>
      </c>
    </row>
    <row r="723">
      <c r="A723" s="7" t="inlineStr">
        <is>
          <t>TXN100726</t>
        </is>
      </c>
      <c r="B723" s="7" t="inlineStr">
        <is>
          <t>CUST0726</t>
        </is>
      </c>
      <c r="C723" s="7" t="inlineStr">
        <is>
          <t>2026-06-01 10:34:00</t>
        </is>
      </c>
      <c r="D723" s="7">
        <f>TEXT(LEFT(C723,10),"YYYY-MM-DD")</f>
        <v/>
      </c>
      <c r="E723" s="8">
        <f>HOUR(C723)</f>
        <v/>
      </c>
      <c r="F723" s="7" t="inlineStr">
        <is>
          <t>Male</t>
        </is>
      </c>
      <c r="G723" s="8" t="n">
        <v>50</v>
      </c>
      <c r="H723" s="7">
        <f>IF(G723&gt;=60, "Boomer", IF(G723&gt;=45, "Gen X", IF(G723&gt;=25, "Millennial", "Gen Z")))</f>
        <v/>
      </c>
      <c r="I723" s="7" t="inlineStr">
        <is>
          <t>Checking</t>
        </is>
      </c>
      <c r="J723" s="7" t="inlineStr">
        <is>
          <t>Travel</t>
        </is>
      </c>
      <c r="K723" s="9" t="n">
        <v>7249.38</v>
      </c>
      <c r="L723" s="9" t="n">
        <v>28911.28</v>
      </c>
      <c r="M723" s="7" t="inlineStr">
        <is>
          <t>Branch Office</t>
        </is>
      </c>
      <c r="N723" s="7" t="inlineStr">
        <is>
          <t>N</t>
        </is>
      </c>
      <c r="O723" s="7">
        <f>TEXT(D723, "dddd")</f>
        <v/>
      </c>
      <c r="P723" s="7">
        <f>"Q"&amp;ROUNDUP(MONTH(D723)/3, 0)</f>
        <v/>
      </c>
    </row>
    <row r="724">
      <c r="A724" s="4" t="inlineStr">
        <is>
          <t>TXN100727</t>
        </is>
      </c>
      <c r="B724" s="4" t="inlineStr">
        <is>
          <t>CUST0727</t>
        </is>
      </c>
      <c r="C724" s="4" t="inlineStr">
        <is>
          <t>2026-06-01 09:18:00</t>
        </is>
      </c>
      <c r="D724" s="4">
        <f>TEXT(LEFT(C724,10),"YYYY-MM-DD")</f>
        <v/>
      </c>
      <c r="E724" s="5">
        <f>HOUR(C724)</f>
        <v/>
      </c>
      <c r="F724" s="4" t="inlineStr">
        <is>
          <t>Male</t>
        </is>
      </c>
      <c r="G724" s="5" t="n">
        <v>22</v>
      </c>
      <c r="H724" s="4">
        <f>IF(G724&gt;=60, "Boomer", IF(G724&gt;=45, "Gen X", IF(G724&gt;=25, "Millennial", "Gen Z")))</f>
        <v/>
      </c>
      <c r="I724" s="4" t="inlineStr">
        <is>
          <t>Investment</t>
        </is>
      </c>
      <c r="J724" s="4" t="inlineStr">
        <is>
          <t>Travel</t>
        </is>
      </c>
      <c r="K724" s="6" t="n">
        <v>5997.91</v>
      </c>
      <c r="L724" s="6" t="n">
        <v>36485.1</v>
      </c>
      <c r="M724" s="4" t="inlineStr">
        <is>
          <t>Branch Office</t>
        </is>
      </c>
      <c r="N724" s="4" t="inlineStr">
        <is>
          <t>N</t>
        </is>
      </c>
      <c r="O724" s="4">
        <f>TEXT(D724, "dddd")</f>
        <v/>
      </c>
      <c r="P724" s="4">
        <f>"Q"&amp;ROUNDUP(MONTH(D724)/3, 0)</f>
        <v/>
      </c>
    </row>
    <row r="725">
      <c r="A725" s="7" t="inlineStr">
        <is>
          <t>TXN100728</t>
        </is>
      </c>
      <c r="B725" s="7" t="inlineStr">
        <is>
          <t>CUST0728</t>
        </is>
      </c>
      <c r="C725" s="7" t="inlineStr">
        <is>
          <t>2026-06-01 01:40:00</t>
        </is>
      </c>
      <c r="D725" s="7">
        <f>TEXT(LEFT(C725,10),"YYYY-MM-DD")</f>
        <v/>
      </c>
      <c r="E725" s="8">
        <f>HOUR(C725)</f>
        <v/>
      </c>
      <c r="F725" s="7" t="inlineStr">
        <is>
          <t>Unspecified</t>
        </is>
      </c>
      <c r="G725" s="8" t="n">
        <v>57</v>
      </c>
      <c r="H725" s="7">
        <f>IF(G725&gt;=60, "Boomer", IF(G725&gt;=45, "Gen X", IF(G725&gt;=25, "Millennial", "Gen Z")))</f>
        <v/>
      </c>
      <c r="I725" s="7" t="inlineStr">
        <is>
          <t>Savings</t>
        </is>
      </c>
      <c r="J725" s="7" t="inlineStr">
        <is>
          <t>Travel</t>
        </is>
      </c>
      <c r="K725" s="9" t="n">
        <v>422.44</v>
      </c>
      <c r="L725" s="9" t="n">
        <v>49523.06</v>
      </c>
      <c r="M725" s="7" t="inlineStr">
        <is>
          <t>Mobile App</t>
        </is>
      </c>
      <c r="N725" s="7" t="inlineStr">
        <is>
          <t>N</t>
        </is>
      </c>
      <c r="O725" s="7">
        <f>TEXT(D725, "dddd")</f>
        <v/>
      </c>
      <c r="P725" s="7">
        <f>"Q"&amp;ROUNDUP(MONTH(D725)/3, 0)</f>
        <v/>
      </c>
    </row>
    <row r="726">
      <c r="A726" s="4" t="inlineStr">
        <is>
          <t>TXN100729</t>
        </is>
      </c>
      <c r="B726" s="4" t="inlineStr">
        <is>
          <t>CUST0729</t>
        </is>
      </c>
      <c r="C726" s="4" t="inlineStr">
        <is>
          <t>2026-06-01 09:31:00</t>
        </is>
      </c>
      <c r="D726" s="4">
        <f>TEXT(LEFT(C726,10),"YYYY-MM-DD")</f>
        <v/>
      </c>
      <c r="E726" s="5">
        <f>HOUR(C726)</f>
        <v/>
      </c>
      <c r="F726" s="4" t="inlineStr">
        <is>
          <t>Male</t>
        </is>
      </c>
      <c r="G726" s="5" t="n">
        <v>28</v>
      </c>
      <c r="H726" s="4">
        <f>IF(G726&gt;=60, "Boomer", IF(G726&gt;=45, "Gen X", IF(G726&gt;=25, "Millennial", "Gen Z")))</f>
        <v/>
      </c>
      <c r="I726" s="4" t="inlineStr">
        <is>
          <t>Investment</t>
        </is>
      </c>
      <c r="J726" s="4" t="inlineStr">
        <is>
          <t>Groceries</t>
        </is>
      </c>
      <c r="K726" s="6" t="n">
        <v>6813.05</v>
      </c>
      <c r="L726" s="6" t="n">
        <v>14253.52</v>
      </c>
      <c r="M726" s="4" t="inlineStr">
        <is>
          <t>Online Banking</t>
        </is>
      </c>
      <c r="N726" s="4" t="inlineStr">
        <is>
          <t>N</t>
        </is>
      </c>
      <c r="O726" s="4">
        <f>TEXT(D726, "dddd")</f>
        <v/>
      </c>
      <c r="P726" s="4">
        <f>"Q"&amp;ROUNDUP(MONTH(D726)/3, 0)</f>
        <v/>
      </c>
    </row>
    <row r="727">
      <c r="A727" s="7" t="inlineStr">
        <is>
          <t>TXN100730</t>
        </is>
      </c>
      <c r="B727" s="7" t="inlineStr">
        <is>
          <t>CUST0730</t>
        </is>
      </c>
      <c r="C727" s="7" t="inlineStr">
        <is>
          <t>2026-06-01 19:17:00</t>
        </is>
      </c>
      <c r="D727" s="7">
        <f>TEXT(LEFT(C727,10),"YYYY-MM-DD")</f>
        <v/>
      </c>
      <c r="E727" s="8">
        <f>HOUR(C727)</f>
        <v/>
      </c>
      <c r="F727" s="7" t="inlineStr">
        <is>
          <t>Female</t>
        </is>
      </c>
      <c r="G727" s="8" t="n">
        <v>74</v>
      </c>
      <c r="H727" s="7">
        <f>IF(G727&gt;=60, "Boomer", IF(G727&gt;=45, "Gen X", IF(G727&gt;=25, "Millennial", "Gen Z")))</f>
        <v/>
      </c>
      <c r="I727" s="7" t="inlineStr">
        <is>
          <t>Checking</t>
        </is>
      </c>
      <c r="J727" s="7" t="inlineStr">
        <is>
          <t>Groceries</t>
        </is>
      </c>
      <c r="K727" s="9" t="n">
        <v>5934.02</v>
      </c>
      <c r="L727" s="9" t="n">
        <v>30389.17</v>
      </c>
      <c r="M727" s="7" t="inlineStr">
        <is>
          <t>Online Banking</t>
        </is>
      </c>
      <c r="N727" s="7" t="inlineStr">
        <is>
          <t>N</t>
        </is>
      </c>
      <c r="O727" s="7">
        <f>TEXT(D727, "dddd")</f>
        <v/>
      </c>
      <c r="P727" s="7">
        <f>"Q"&amp;ROUNDUP(MONTH(D727)/3, 0)</f>
        <v/>
      </c>
    </row>
    <row r="728">
      <c r="A728" s="4" t="inlineStr">
        <is>
          <t>TXN100731</t>
        </is>
      </c>
      <c r="B728" s="4" t="inlineStr">
        <is>
          <t>CUST0731</t>
        </is>
      </c>
      <c r="C728" s="4" t="inlineStr">
        <is>
          <t>2026-06-01 21:28:00</t>
        </is>
      </c>
      <c r="D728" s="4">
        <f>TEXT(LEFT(C728,10),"YYYY-MM-DD")</f>
        <v/>
      </c>
      <c r="E728" s="5">
        <f>HOUR(C728)</f>
        <v/>
      </c>
      <c r="F728" s="4" t="inlineStr">
        <is>
          <t>Female</t>
        </is>
      </c>
      <c r="G728" s="5" t="n">
        <v>71</v>
      </c>
      <c r="H728" s="4">
        <f>IF(G728&gt;=60, "Boomer", IF(G728&gt;=45, "Gen X", IF(G728&gt;=25, "Millennial", "Gen Z")))</f>
        <v/>
      </c>
      <c r="I728" s="4" t="inlineStr">
        <is>
          <t>Savings</t>
        </is>
      </c>
      <c r="J728" s="4" t="inlineStr">
        <is>
          <t>Entertainment</t>
        </is>
      </c>
      <c r="K728" s="6" t="n">
        <v>6262.4</v>
      </c>
      <c r="L728" s="6" t="n">
        <v>12191.7</v>
      </c>
      <c r="M728" s="4" t="inlineStr">
        <is>
          <t>Online Banking</t>
        </is>
      </c>
      <c r="N728" s="4" t="inlineStr">
        <is>
          <t>N</t>
        </is>
      </c>
      <c r="O728" s="4">
        <f>TEXT(D728, "dddd")</f>
        <v/>
      </c>
      <c r="P728" s="4">
        <f>"Q"&amp;ROUNDUP(MONTH(D728)/3, 0)</f>
        <v/>
      </c>
    </row>
    <row r="729">
      <c r="A729" s="7" t="inlineStr">
        <is>
          <t>TXN100732</t>
        </is>
      </c>
      <c r="B729" s="7" t="inlineStr">
        <is>
          <t>CUST0732</t>
        </is>
      </c>
      <c r="C729" s="7" t="inlineStr">
        <is>
          <t>2026-06-01 16:55:00</t>
        </is>
      </c>
      <c r="D729" s="7">
        <f>TEXT(LEFT(C729,10),"YYYY-MM-DD")</f>
        <v/>
      </c>
      <c r="E729" s="8">
        <f>HOUR(C729)</f>
        <v/>
      </c>
      <c r="F729" s="7" t="inlineStr">
        <is>
          <t>Male</t>
        </is>
      </c>
      <c r="G729" s="8" t="n">
        <v>41</v>
      </c>
      <c r="H729" s="7">
        <f>IF(G729&gt;=60, "Boomer", IF(G729&gt;=45, "Gen X", IF(G729&gt;=25, "Millennial", "Gen Z")))</f>
        <v/>
      </c>
      <c r="I729" s="7" t="inlineStr">
        <is>
          <t>Savings</t>
        </is>
      </c>
      <c r="J729" s="7" t="inlineStr">
        <is>
          <t>Groceries</t>
        </is>
      </c>
      <c r="K729" s="9" t="n">
        <v>4768.4</v>
      </c>
      <c r="L729" s="9" t="n">
        <v>41175.33</v>
      </c>
      <c r="M729" s="7" t="inlineStr">
        <is>
          <t>ATM</t>
        </is>
      </c>
      <c r="N729" s="7" t="inlineStr">
        <is>
          <t>N</t>
        </is>
      </c>
      <c r="O729" s="7">
        <f>TEXT(D729, "dddd")</f>
        <v/>
      </c>
      <c r="P729" s="7">
        <f>"Q"&amp;ROUNDUP(MONTH(D729)/3, 0)</f>
        <v/>
      </c>
    </row>
    <row r="730">
      <c r="A730" s="4" t="inlineStr">
        <is>
          <t>TXN100733</t>
        </is>
      </c>
      <c r="B730" s="4" t="inlineStr">
        <is>
          <t>CUST0733</t>
        </is>
      </c>
      <c r="C730" s="4" t="inlineStr">
        <is>
          <t>2026-06-01 13:49:00</t>
        </is>
      </c>
      <c r="D730" s="4">
        <f>TEXT(LEFT(C730,10),"YYYY-MM-DD")</f>
        <v/>
      </c>
      <c r="E730" s="5">
        <f>HOUR(C730)</f>
        <v/>
      </c>
      <c r="F730" s="4" t="inlineStr">
        <is>
          <t>Unspecified</t>
        </is>
      </c>
      <c r="G730" s="5" t="n">
        <v>35</v>
      </c>
      <c r="H730" s="4">
        <f>IF(G730&gt;=60, "Boomer", IF(G730&gt;=45, "Gen X", IF(G730&gt;=25, "Millennial", "Gen Z")))</f>
        <v/>
      </c>
      <c r="I730" s="4" t="inlineStr">
        <is>
          <t>Investment</t>
        </is>
      </c>
      <c r="J730" s="4" t="inlineStr">
        <is>
          <t>Utilities</t>
        </is>
      </c>
      <c r="K730" s="6" t="n">
        <v>5810.73</v>
      </c>
      <c r="L730" s="6" t="n">
        <v>8780.52</v>
      </c>
      <c r="M730" s="4" t="inlineStr">
        <is>
          <t>Branch Office</t>
        </is>
      </c>
      <c r="N730" s="4" t="inlineStr">
        <is>
          <t>N</t>
        </is>
      </c>
      <c r="O730" s="4">
        <f>TEXT(D730, "dddd")</f>
        <v/>
      </c>
      <c r="P730" s="4">
        <f>"Q"&amp;ROUNDUP(MONTH(D730)/3, 0)</f>
        <v/>
      </c>
    </row>
    <row r="731">
      <c r="A731" s="7" t="inlineStr">
        <is>
          <t>TXN100734</t>
        </is>
      </c>
      <c r="B731" s="7" t="inlineStr">
        <is>
          <t>CUST0734</t>
        </is>
      </c>
      <c r="C731" s="7" t="inlineStr">
        <is>
          <t>2026-06-01 01:41:00</t>
        </is>
      </c>
      <c r="D731" s="7">
        <f>TEXT(LEFT(C731,10),"YYYY-MM-DD")</f>
        <v/>
      </c>
      <c r="E731" s="8">
        <f>HOUR(C731)</f>
        <v/>
      </c>
      <c r="F731" s="7" t="inlineStr">
        <is>
          <t>Female</t>
        </is>
      </c>
      <c r="G731" s="8" t="n">
        <v>68</v>
      </c>
      <c r="H731" s="7">
        <f>IF(G731&gt;=60, "Boomer", IF(G731&gt;=45, "Gen X", IF(G731&gt;=25, "Millennial", "Gen Z")))</f>
        <v/>
      </c>
      <c r="I731" s="7" t="inlineStr">
        <is>
          <t>Savings</t>
        </is>
      </c>
      <c r="J731" s="7" t="inlineStr">
        <is>
          <t>Groceries</t>
        </is>
      </c>
      <c r="K731" s="9" t="n">
        <v>1349.13</v>
      </c>
      <c r="L731" s="9" t="n">
        <v>20237.87</v>
      </c>
      <c r="M731" s="7" t="inlineStr">
        <is>
          <t>Branch Office</t>
        </is>
      </c>
      <c r="N731" s="7" t="inlineStr">
        <is>
          <t>N</t>
        </is>
      </c>
      <c r="O731" s="7">
        <f>TEXT(D731, "dddd")</f>
        <v/>
      </c>
      <c r="P731" s="7">
        <f>"Q"&amp;ROUNDUP(MONTH(D731)/3, 0)</f>
        <v/>
      </c>
    </row>
    <row r="732">
      <c r="A732" s="4" t="inlineStr">
        <is>
          <t>TXN100735</t>
        </is>
      </c>
      <c r="B732" s="4" t="inlineStr">
        <is>
          <t>CUST0735</t>
        </is>
      </c>
      <c r="C732" s="4" t="inlineStr">
        <is>
          <t>2026-06-01 15:47:00</t>
        </is>
      </c>
      <c r="D732" s="4">
        <f>TEXT(LEFT(C732,10),"YYYY-MM-DD")</f>
        <v/>
      </c>
      <c r="E732" s="5">
        <f>HOUR(C732)</f>
        <v/>
      </c>
      <c r="F732" s="4" t="inlineStr">
        <is>
          <t>Female</t>
        </is>
      </c>
      <c r="G732" s="5" t="n">
        <v>44</v>
      </c>
      <c r="H732" s="4">
        <f>IF(G732&gt;=60, "Boomer", IF(G732&gt;=45, "Gen X", IF(G732&gt;=25, "Millennial", "Gen Z")))</f>
        <v/>
      </c>
      <c r="I732" s="4" t="inlineStr">
        <is>
          <t>Investment</t>
        </is>
      </c>
      <c r="J732" s="4" t="inlineStr">
        <is>
          <t>Utilities</t>
        </is>
      </c>
      <c r="K732" s="6" t="n">
        <v>3801.97</v>
      </c>
      <c r="L732" s="6" t="n">
        <v>7684.92</v>
      </c>
      <c r="M732" s="4" t="inlineStr">
        <is>
          <t>ATM</t>
        </is>
      </c>
      <c r="N732" s="4" t="inlineStr">
        <is>
          <t>N</t>
        </is>
      </c>
      <c r="O732" s="4">
        <f>TEXT(D732, "dddd")</f>
        <v/>
      </c>
      <c r="P732" s="4">
        <f>"Q"&amp;ROUNDUP(MONTH(D732)/3, 0)</f>
        <v/>
      </c>
    </row>
    <row r="733">
      <c r="A733" s="7" t="inlineStr">
        <is>
          <t>TXN100736</t>
        </is>
      </c>
      <c r="B733" s="7" t="inlineStr">
        <is>
          <t>CUST0736</t>
        </is>
      </c>
      <c r="C733" s="7" t="inlineStr">
        <is>
          <t>2026-06-01 00:18:00</t>
        </is>
      </c>
      <c r="D733" s="7">
        <f>TEXT(LEFT(C733,10),"YYYY-MM-DD")</f>
        <v/>
      </c>
      <c r="E733" s="8">
        <f>HOUR(C733)</f>
        <v/>
      </c>
      <c r="F733" s="7" t="inlineStr">
        <is>
          <t>Unspecified</t>
        </is>
      </c>
      <c r="G733" s="8" t="n">
        <v>44</v>
      </c>
      <c r="H733" s="7">
        <f>IF(G733&gt;=60, "Boomer", IF(G733&gt;=45, "Gen X", IF(G733&gt;=25, "Millennial", "Gen Z")))</f>
        <v/>
      </c>
      <c r="I733" s="7" t="inlineStr">
        <is>
          <t>Investment</t>
        </is>
      </c>
      <c r="J733" s="7" t="inlineStr">
        <is>
          <t>Entertainment</t>
        </is>
      </c>
      <c r="K733" s="9" t="n">
        <v>7694.48</v>
      </c>
      <c r="L733" s="9" t="n">
        <v>34302.38</v>
      </c>
      <c r="M733" s="7" t="inlineStr">
        <is>
          <t>Mobile App</t>
        </is>
      </c>
      <c r="N733" s="7" t="inlineStr">
        <is>
          <t>N</t>
        </is>
      </c>
      <c r="O733" s="7">
        <f>TEXT(D733, "dddd")</f>
        <v/>
      </c>
      <c r="P733" s="7">
        <f>"Q"&amp;ROUNDUP(MONTH(D733)/3, 0)</f>
        <v/>
      </c>
    </row>
    <row r="734">
      <c r="A734" s="4" t="inlineStr">
        <is>
          <t>TXN100737</t>
        </is>
      </c>
      <c r="B734" s="4" t="inlineStr">
        <is>
          <t>CUST0737</t>
        </is>
      </c>
      <c r="C734" s="4" t="inlineStr">
        <is>
          <t>2026-06-01 17:40:00</t>
        </is>
      </c>
      <c r="D734" s="4">
        <f>TEXT(LEFT(C734,10),"YYYY-MM-DD")</f>
        <v/>
      </c>
      <c r="E734" s="5">
        <f>HOUR(C734)</f>
        <v/>
      </c>
      <c r="F734" s="4" t="inlineStr">
        <is>
          <t>Female</t>
        </is>
      </c>
      <c r="G734" s="5" t="n">
        <v>74</v>
      </c>
      <c r="H734" s="4">
        <f>IF(G734&gt;=60, "Boomer", IF(G734&gt;=45, "Gen X", IF(G734&gt;=25, "Millennial", "Gen Z")))</f>
        <v/>
      </c>
      <c r="I734" s="4" t="inlineStr">
        <is>
          <t>Checking</t>
        </is>
      </c>
      <c r="J734" s="4" t="inlineStr">
        <is>
          <t>Travel</t>
        </is>
      </c>
      <c r="K734" s="6" t="n">
        <v>7345.16</v>
      </c>
      <c r="L734" s="6" t="n">
        <v>42988.61</v>
      </c>
      <c r="M734" s="4" t="inlineStr">
        <is>
          <t>Branch Office</t>
        </is>
      </c>
      <c r="N734" s="4" t="inlineStr">
        <is>
          <t>N</t>
        </is>
      </c>
      <c r="O734" s="4">
        <f>TEXT(D734, "dddd")</f>
        <v/>
      </c>
      <c r="P734" s="4">
        <f>"Q"&amp;ROUNDUP(MONTH(D734)/3, 0)</f>
        <v/>
      </c>
    </row>
    <row r="735">
      <c r="A735" s="7" t="inlineStr">
        <is>
          <t>TXN100738</t>
        </is>
      </c>
      <c r="B735" s="7" t="inlineStr">
        <is>
          <t>CUST0738</t>
        </is>
      </c>
      <c r="C735" s="7" t="inlineStr">
        <is>
          <t>2026-06-01 03:16:00</t>
        </is>
      </c>
      <c r="D735" s="7">
        <f>TEXT(LEFT(C735,10),"YYYY-MM-DD")</f>
        <v/>
      </c>
      <c r="E735" s="8">
        <f>HOUR(C735)</f>
        <v/>
      </c>
      <c r="F735" s="7" t="inlineStr">
        <is>
          <t>Unspecified</t>
        </is>
      </c>
      <c r="G735" s="8" t="n">
        <v>49</v>
      </c>
      <c r="H735" s="7">
        <f>IF(G735&gt;=60, "Boomer", IF(G735&gt;=45, "Gen X", IF(G735&gt;=25, "Millennial", "Gen Z")))</f>
        <v/>
      </c>
      <c r="I735" s="7" t="inlineStr">
        <is>
          <t>Investment</t>
        </is>
      </c>
      <c r="J735" s="7" t="inlineStr">
        <is>
          <t>Groceries</t>
        </is>
      </c>
      <c r="K735" s="9" t="n">
        <v>5877.16</v>
      </c>
      <c r="L735" s="9" t="n">
        <v>29641.85</v>
      </c>
      <c r="M735" s="7" t="inlineStr">
        <is>
          <t>Online Banking</t>
        </is>
      </c>
      <c r="N735" s="7" t="inlineStr">
        <is>
          <t>N</t>
        </is>
      </c>
      <c r="O735" s="7">
        <f>TEXT(D735, "dddd")</f>
        <v/>
      </c>
      <c r="P735" s="7">
        <f>"Q"&amp;ROUNDUP(MONTH(D735)/3, 0)</f>
        <v/>
      </c>
    </row>
    <row r="736">
      <c r="A736" s="4" t="inlineStr">
        <is>
          <t>TXN100739</t>
        </is>
      </c>
      <c r="B736" s="4" t="inlineStr">
        <is>
          <t>CUST0739</t>
        </is>
      </c>
      <c r="C736" s="4" t="inlineStr">
        <is>
          <t>2026-06-01 16:21:00</t>
        </is>
      </c>
      <c r="D736" s="4">
        <f>TEXT(LEFT(C736,10),"YYYY-MM-DD")</f>
        <v/>
      </c>
      <c r="E736" s="5">
        <f>HOUR(C736)</f>
        <v/>
      </c>
      <c r="F736" s="4" t="inlineStr">
        <is>
          <t>Male</t>
        </is>
      </c>
      <c r="G736" s="5" t="n">
        <v>40</v>
      </c>
      <c r="H736" s="4">
        <f>IF(G736&gt;=60, "Boomer", IF(G736&gt;=45, "Gen X", IF(G736&gt;=25, "Millennial", "Gen Z")))</f>
        <v/>
      </c>
      <c r="I736" s="4" t="inlineStr">
        <is>
          <t>Investment</t>
        </is>
      </c>
      <c r="J736" s="4" t="inlineStr">
        <is>
          <t>Groceries</t>
        </is>
      </c>
      <c r="K736" s="6" t="n">
        <v>5385.69</v>
      </c>
      <c r="L736" s="6" t="n">
        <v>41668.63</v>
      </c>
      <c r="M736" s="4" t="inlineStr">
        <is>
          <t>Mobile App</t>
        </is>
      </c>
      <c r="N736" s="4" t="inlineStr">
        <is>
          <t>N</t>
        </is>
      </c>
      <c r="O736" s="4">
        <f>TEXT(D736, "dddd")</f>
        <v/>
      </c>
      <c r="P736" s="4">
        <f>"Q"&amp;ROUNDUP(MONTH(D736)/3, 0)</f>
        <v/>
      </c>
    </row>
    <row r="737">
      <c r="A737" s="7" t="inlineStr">
        <is>
          <t>TXN100740</t>
        </is>
      </c>
      <c r="B737" s="7" t="inlineStr">
        <is>
          <t>CUST0740</t>
        </is>
      </c>
      <c r="C737" s="7" t="inlineStr">
        <is>
          <t>2026-06-01 13:06:00</t>
        </is>
      </c>
      <c r="D737" s="7">
        <f>TEXT(LEFT(C737,10),"YYYY-MM-DD")</f>
        <v/>
      </c>
      <c r="E737" s="8">
        <f>HOUR(C737)</f>
        <v/>
      </c>
      <c r="F737" s="7" t="inlineStr">
        <is>
          <t>Male</t>
        </is>
      </c>
      <c r="G737" s="8" t="n">
        <v>63</v>
      </c>
      <c r="H737" s="7">
        <f>IF(G737&gt;=60, "Boomer", IF(G737&gt;=45, "Gen X", IF(G737&gt;=25, "Millennial", "Gen Z")))</f>
        <v/>
      </c>
      <c r="I737" s="7" t="inlineStr">
        <is>
          <t>Checking</t>
        </is>
      </c>
      <c r="J737" s="7" t="inlineStr">
        <is>
          <t>Entertainment</t>
        </is>
      </c>
      <c r="K737" s="9" t="n">
        <v>1763.14</v>
      </c>
      <c r="L737" s="9" t="n">
        <v>14523.2</v>
      </c>
      <c r="M737" s="7" t="inlineStr">
        <is>
          <t>Online Banking</t>
        </is>
      </c>
      <c r="N737" s="7" t="inlineStr">
        <is>
          <t>N</t>
        </is>
      </c>
      <c r="O737" s="7">
        <f>TEXT(D737, "dddd")</f>
        <v/>
      </c>
      <c r="P737" s="7">
        <f>"Q"&amp;ROUNDUP(MONTH(D737)/3, 0)</f>
        <v/>
      </c>
    </row>
    <row r="738">
      <c r="A738" s="4" t="inlineStr">
        <is>
          <t>TXN100741</t>
        </is>
      </c>
      <c r="B738" s="4" t="inlineStr">
        <is>
          <t>CUST0741</t>
        </is>
      </c>
      <c r="C738" s="4" t="inlineStr">
        <is>
          <t>2026-06-01 01:01:00</t>
        </is>
      </c>
      <c r="D738" s="4">
        <f>TEXT(LEFT(C738,10),"YYYY-MM-DD")</f>
        <v/>
      </c>
      <c r="E738" s="5">
        <f>HOUR(C738)</f>
        <v/>
      </c>
      <c r="F738" s="4" t="inlineStr">
        <is>
          <t>Male</t>
        </is>
      </c>
      <c r="G738" s="5" t="n">
        <v>23</v>
      </c>
      <c r="H738" s="4">
        <f>IF(G738&gt;=60, "Boomer", IF(G738&gt;=45, "Gen X", IF(G738&gt;=25, "Millennial", "Gen Z")))</f>
        <v/>
      </c>
      <c r="I738" s="4" t="inlineStr">
        <is>
          <t>Investment</t>
        </is>
      </c>
      <c r="J738" s="4" t="inlineStr">
        <is>
          <t>Groceries</t>
        </is>
      </c>
      <c r="K738" s="6" t="n">
        <v>7604.41</v>
      </c>
      <c r="L738" s="6" t="n">
        <v>32085.1</v>
      </c>
      <c r="M738" s="4" t="inlineStr">
        <is>
          <t>Mobile App</t>
        </is>
      </c>
      <c r="N738" s="4" t="inlineStr">
        <is>
          <t>N</t>
        </is>
      </c>
      <c r="O738" s="4">
        <f>TEXT(D738, "dddd")</f>
        <v/>
      </c>
      <c r="P738" s="4">
        <f>"Q"&amp;ROUNDUP(MONTH(D738)/3, 0)</f>
        <v/>
      </c>
    </row>
    <row r="739">
      <c r="A739" s="7" t="inlineStr">
        <is>
          <t>TXN100742</t>
        </is>
      </c>
      <c r="B739" s="7" t="inlineStr">
        <is>
          <t>CUST0742</t>
        </is>
      </c>
      <c r="C739" s="7" t="inlineStr">
        <is>
          <t>2026-06-01 19:08:00</t>
        </is>
      </c>
      <c r="D739" s="7">
        <f>TEXT(LEFT(C739,10),"YYYY-MM-DD")</f>
        <v/>
      </c>
      <c r="E739" s="8">
        <f>HOUR(C739)</f>
        <v/>
      </c>
      <c r="F739" s="7" t="inlineStr">
        <is>
          <t>Unspecified</t>
        </is>
      </c>
      <c r="G739" s="8" t="n">
        <v>62</v>
      </c>
      <c r="H739" s="7">
        <f>IF(G739&gt;=60, "Boomer", IF(G739&gt;=45, "Gen X", IF(G739&gt;=25, "Millennial", "Gen Z")))</f>
        <v/>
      </c>
      <c r="I739" s="7" t="inlineStr">
        <is>
          <t>Investment</t>
        </is>
      </c>
      <c r="J739" s="7" t="inlineStr">
        <is>
          <t>Travel</t>
        </is>
      </c>
      <c r="K739" s="9" t="n">
        <v>6427.57</v>
      </c>
      <c r="L739" s="9" t="n">
        <v>9646.049999999999</v>
      </c>
      <c r="M739" s="7" t="inlineStr">
        <is>
          <t>Mobile App</t>
        </is>
      </c>
      <c r="N739" s="7" t="inlineStr">
        <is>
          <t>N</t>
        </is>
      </c>
      <c r="O739" s="7">
        <f>TEXT(D739, "dddd")</f>
        <v/>
      </c>
      <c r="P739" s="7">
        <f>"Q"&amp;ROUNDUP(MONTH(D739)/3, 0)</f>
        <v/>
      </c>
    </row>
    <row r="740">
      <c r="A740" s="4" t="inlineStr">
        <is>
          <t>TXN100743</t>
        </is>
      </c>
      <c r="B740" s="4" t="inlineStr">
        <is>
          <t>CUST0743</t>
        </is>
      </c>
      <c r="C740" s="4" t="inlineStr">
        <is>
          <t>2026-06-01 22:11:00</t>
        </is>
      </c>
      <c r="D740" s="4">
        <f>TEXT(LEFT(C740,10),"YYYY-MM-DD")</f>
        <v/>
      </c>
      <c r="E740" s="5">
        <f>HOUR(C740)</f>
        <v/>
      </c>
      <c r="F740" s="4" t="inlineStr">
        <is>
          <t>Female</t>
        </is>
      </c>
      <c r="G740" s="5" t="n">
        <v>38</v>
      </c>
      <c r="H740" s="4">
        <f>IF(G740&gt;=60, "Boomer", IF(G740&gt;=45, "Gen X", IF(G740&gt;=25, "Millennial", "Gen Z")))</f>
        <v/>
      </c>
      <c r="I740" s="4" t="inlineStr">
        <is>
          <t>Checking</t>
        </is>
      </c>
      <c r="J740" s="4" t="inlineStr">
        <is>
          <t>Groceries</t>
        </is>
      </c>
      <c r="K740" s="6" t="n">
        <v>5113.86</v>
      </c>
      <c r="L740" s="6" t="n">
        <v>46173.42</v>
      </c>
      <c r="M740" s="4" t="inlineStr">
        <is>
          <t>Branch Office</t>
        </is>
      </c>
      <c r="N740" s="4" t="inlineStr">
        <is>
          <t>N</t>
        </is>
      </c>
      <c r="O740" s="4">
        <f>TEXT(D740, "dddd")</f>
        <v/>
      </c>
      <c r="P740" s="4">
        <f>"Q"&amp;ROUNDUP(MONTH(D740)/3, 0)</f>
        <v/>
      </c>
    </row>
    <row r="741">
      <c r="A741" s="7" t="inlineStr">
        <is>
          <t>TXN100744</t>
        </is>
      </c>
      <c r="B741" s="7" t="inlineStr">
        <is>
          <t>CUST0744</t>
        </is>
      </c>
      <c r="C741" s="7" t="inlineStr">
        <is>
          <t>2026-06-01 13:44:00</t>
        </is>
      </c>
      <c r="D741" s="7">
        <f>TEXT(LEFT(C741,10),"YYYY-MM-DD")</f>
        <v/>
      </c>
      <c r="E741" s="8">
        <f>HOUR(C741)</f>
        <v/>
      </c>
      <c r="F741" s="7" t="inlineStr">
        <is>
          <t>Female</t>
        </is>
      </c>
      <c r="G741" s="8" t="n">
        <v>36</v>
      </c>
      <c r="H741" s="7">
        <f>IF(G741&gt;=60, "Boomer", IF(G741&gt;=45, "Gen X", IF(G741&gt;=25, "Millennial", "Gen Z")))</f>
        <v/>
      </c>
      <c r="I741" s="7" t="inlineStr">
        <is>
          <t>Savings</t>
        </is>
      </c>
      <c r="J741" s="7" t="inlineStr">
        <is>
          <t>Groceries</t>
        </is>
      </c>
      <c r="K741" s="9" t="n">
        <v>2225.53</v>
      </c>
      <c r="L741" s="9" t="n">
        <v>3588.18</v>
      </c>
      <c r="M741" s="7" t="inlineStr">
        <is>
          <t>ATM</t>
        </is>
      </c>
      <c r="N741" s="7" t="inlineStr">
        <is>
          <t>N</t>
        </is>
      </c>
      <c r="O741" s="7">
        <f>TEXT(D741, "dddd")</f>
        <v/>
      </c>
      <c r="P741" s="7">
        <f>"Q"&amp;ROUNDUP(MONTH(D741)/3, 0)</f>
        <v/>
      </c>
    </row>
    <row r="742">
      <c r="A742" s="4" t="inlineStr">
        <is>
          <t>TXN100745</t>
        </is>
      </c>
      <c r="B742" s="4" t="inlineStr">
        <is>
          <t>CUST0745</t>
        </is>
      </c>
      <c r="C742" s="4" t="inlineStr">
        <is>
          <t>2026-06-01 10:03:00</t>
        </is>
      </c>
      <c r="D742" s="4">
        <f>TEXT(LEFT(C742,10),"YYYY-MM-DD")</f>
        <v/>
      </c>
      <c r="E742" s="5">
        <f>HOUR(C742)</f>
        <v/>
      </c>
      <c r="F742" s="4" t="inlineStr">
        <is>
          <t>Female</t>
        </is>
      </c>
      <c r="G742" s="5" t="n">
        <v>72</v>
      </c>
      <c r="H742" s="4">
        <f>IF(G742&gt;=60, "Boomer", IF(G742&gt;=45, "Gen X", IF(G742&gt;=25, "Millennial", "Gen Z")))</f>
        <v/>
      </c>
      <c r="I742" s="4" t="inlineStr">
        <is>
          <t>Checking</t>
        </is>
      </c>
      <c r="J742" s="4" t="inlineStr">
        <is>
          <t>Groceries</t>
        </is>
      </c>
      <c r="K742" s="6" t="n">
        <v>3530.19</v>
      </c>
      <c r="L742" s="6" t="n">
        <v>24840.23</v>
      </c>
      <c r="M742" s="4" t="inlineStr">
        <is>
          <t>Online Banking</t>
        </is>
      </c>
      <c r="N742" s="4" t="inlineStr">
        <is>
          <t>N</t>
        </is>
      </c>
      <c r="O742" s="4">
        <f>TEXT(D742, "dddd")</f>
        <v/>
      </c>
      <c r="P742" s="4">
        <f>"Q"&amp;ROUNDUP(MONTH(D742)/3, 0)</f>
        <v/>
      </c>
    </row>
    <row r="743">
      <c r="A743" s="7" t="inlineStr">
        <is>
          <t>TXN100746</t>
        </is>
      </c>
      <c r="B743" s="7" t="inlineStr">
        <is>
          <t>CUST0746</t>
        </is>
      </c>
      <c r="C743" s="7" t="inlineStr">
        <is>
          <t>2026-06-01 19:25:00</t>
        </is>
      </c>
      <c r="D743" s="7">
        <f>TEXT(LEFT(C743,10),"YYYY-MM-DD")</f>
        <v/>
      </c>
      <c r="E743" s="8">
        <f>HOUR(C743)</f>
        <v/>
      </c>
      <c r="F743" s="7" t="inlineStr">
        <is>
          <t>Male</t>
        </is>
      </c>
      <c r="G743" s="8" t="n">
        <v>61</v>
      </c>
      <c r="H743" s="7">
        <f>IF(G743&gt;=60, "Boomer", IF(G743&gt;=45, "Gen X", IF(G743&gt;=25, "Millennial", "Gen Z")))</f>
        <v/>
      </c>
      <c r="I743" s="7" t="inlineStr">
        <is>
          <t>Checking</t>
        </is>
      </c>
      <c r="J743" s="7" t="inlineStr">
        <is>
          <t>Groceries</t>
        </is>
      </c>
      <c r="K743" s="9" t="n">
        <v>1159.54</v>
      </c>
      <c r="L743" s="9" t="n">
        <v>38551.01</v>
      </c>
      <c r="M743" s="7" t="inlineStr">
        <is>
          <t>Online Banking</t>
        </is>
      </c>
      <c r="N743" s="7" t="inlineStr">
        <is>
          <t>N</t>
        </is>
      </c>
      <c r="O743" s="7">
        <f>TEXT(D743, "dddd")</f>
        <v/>
      </c>
      <c r="P743" s="7">
        <f>"Q"&amp;ROUNDUP(MONTH(D743)/3, 0)</f>
        <v/>
      </c>
    </row>
    <row r="744">
      <c r="A744" s="4" t="inlineStr">
        <is>
          <t>TXN100747</t>
        </is>
      </c>
      <c r="B744" s="4" t="inlineStr">
        <is>
          <t>CUST0747</t>
        </is>
      </c>
      <c r="C744" s="4" t="inlineStr">
        <is>
          <t>2026-06-01 19:41:00</t>
        </is>
      </c>
      <c r="D744" s="4">
        <f>TEXT(LEFT(C744,10),"YYYY-MM-DD")</f>
        <v/>
      </c>
      <c r="E744" s="5">
        <f>HOUR(C744)</f>
        <v/>
      </c>
      <c r="F744" s="4" t="inlineStr">
        <is>
          <t>Male</t>
        </is>
      </c>
      <c r="G744" s="5" t="n">
        <v>48</v>
      </c>
      <c r="H744" s="4">
        <f>IF(G744&gt;=60, "Boomer", IF(G744&gt;=45, "Gen X", IF(G744&gt;=25, "Millennial", "Gen Z")))</f>
        <v/>
      </c>
      <c r="I744" s="4" t="inlineStr">
        <is>
          <t>Investment</t>
        </is>
      </c>
      <c r="J744" s="4" t="inlineStr">
        <is>
          <t>Entertainment</t>
        </is>
      </c>
      <c r="K744" s="6" t="n">
        <v>835.26</v>
      </c>
      <c r="L744" s="6" t="n">
        <v>4109.52</v>
      </c>
      <c r="M744" s="4" t="inlineStr">
        <is>
          <t>Branch Office</t>
        </is>
      </c>
      <c r="N744" s="4" t="inlineStr">
        <is>
          <t>N</t>
        </is>
      </c>
      <c r="O744" s="4">
        <f>TEXT(D744, "dddd")</f>
        <v/>
      </c>
      <c r="P744" s="4">
        <f>"Q"&amp;ROUNDUP(MONTH(D744)/3, 0)</f>
        <v/>
      </c>
    </row>
    <row r="745">
      <c r="A745" s="7" t="inlineStr">
        <is>
          <t>TXN100748</t>
        </is>
      </c>
      <c r="B745" s="7" t="inlineStr">
        <is>
          <t>CUST0748</t>
        </is>
      </c>
      <c r="C745" s="7" t="inlineStr">
        <is>
          <t>2026-06-01 14:01:00</t>
        </is>
      </c>
      <c r="D745" s="7">
        <f>TEXT(LEFT(C745,10),"YYYY-MM-DD")</f>
        <v/>
      </c>
      <c r="E745" s="8">
        <f>HOUR(C745)</f>
        <v/>
      </c>
      <c r="F745" s="7" t="inlineStr">
        <is>
          <t>Unspecified</t>
        </is>
      </c>
      <c r="G745" s="8" t="n">
        <v>29</v>
      </c>
      <c r="H745" s="7">
        <f>IF(G745&gt;=60, "Boomer", IF(G745&gt;=45, "Gen X", IF(G745&gt;=25, "Millennial", "Gen Z")))</f>
        <v/>
      </c>
      <c r="I745" s="7" t="inlineStr">
        <is>
          <t>Investment</t>
        </is>
      </c>
      <c r="J745" s="7" t="inlineStr">
        <is>
          <t>Groceries</t>
        </is>
      </c>
      <c r="K745" s="9" t="n">
        <v>7463.82</v>
      </c>
      <c r="L745" s="9" t="n">
        <v>33397.99</v>
      </c>
      <c r="M745" s="7" t="inlineStr">
        <is>
          <t>Branch Office</t>
        </is>
      </c>
      <c r="N745" s="7" t="inlineStr">
        <is>
          <t>N</t>
        </is>
      </c>
      <c r="O745" s="7">
        <f>TEXT(D745, "dddd")</f>
        <v/>
      </c>
      <c r="P745" s="7">
        <f>"Q"&amp;ROUNDUP(MONTH(D745)/3, 0)</f>
        <v/>
      </c>
    </row>
    <row r="746">
      <c r="A746" s="4" t="inlineStr">
        <is>
          <t>TXN100749</t>
        </is>
      </c>
      <c r="B746" s="4" t="inlineStr">
        <is>
          <t>CUST0749</t>
        </is>
      </c>
      <c r="C746" s="4" t="inlineStr">
        <is>
          <t>2026-06-01 10:57:00</t>
        </is>
      </c>
      <c r="D746" s="4">
        <f>TEXT(LEFT(C746,10),"YYYY-MM-DD")</f>
        <v/>
      </c>
      <c r="E746" s="5">
        <f>HOUR(C746)</f>
        <v/>
      </c>
      <c r="F746" s="4" t="inlineStr">
        <is>
          <t>Unspecified</t>
        </is>
      </c>
      <c r="G746" s="5" t="n">
        <v>56</v>
      </c>
      <c r="H746" s="4">
        <f>IF(G746&gt;=60, "Boomer", IF(G746&gt;=45, "Gen X", IF(G746&gt;=25, "Millennial", "Gen Z")))</f>
        <v/>
      </c>
      <c r="I746" s="4" t="inlineStr">
        <is>
          <t>Savings</t>
        </is>
      </c>
      <c r="J746" s="4" t="inlineStr">
        <is>
          <t>Travel</t>
        </is>
      </c>
      <c r="K746" s="6" t="n">
        <v>5663.77</v>
      </c>
      <c r="L746" s="6" t="n">
        <v>38664.04</v>
      </c>
      <c r="M746" s="4" t="inlineStr">
        <is>
          <t>ATM</t>
        </is>
      </c>
      <c r="N746" s="4" t="inlineStr">
        <is>
          <t>N</t>
        </is>
      </c>
      <c r="O746" s="4">
        <f>TEXT(D746, "dddd")</f>
        <v/>
      </c>
      <c r="P746" s="4">
        <f>"Q"&amp;ROUNDUP(MONTH(D746)/3, 0)</f>
        <v/>
      </c>
    </row>
    <row r="747">
      <c r="A747" s="7" t="inlineStr">
        <is>
          <t>TXN100750</t>
        </is>
      </c>
      <c r="B747" s="7" t="inlineStr">
        <is>
          <t>CUST0750</t>
        </is>
      </c>
      <c r="C747" s="7" t="inlineStr">
        <is>
          <t>2026-06-01 13:25:00</t>
        </is>
      </c>
      <c r="D747" s="7">
        <f>TEXT(LEFT(C747,10),"YYYY-MM-DD")</f>
        <v/>
      </c>
      <c r="E747" s="8">
        <f>HOUR(C747)</f>
        <v/>
      </c>
      <c r="F747" s="7" t="inlineStr">
        <is>
          <t>Male</t>
        </is>
      </c>
      <c r="G747" s="8" t="n">
        <v>54</v>
      </c>
      <c r="H747" s="7">
        <f>IF(G747&gt;=60, "Boomer", IF(G747&gt;=45, "Gen X", IF(G747&gt;=25, "Millennial", "Gen Z")))</f>
        <v/>
      </c>
      <c r="I747" s="7" t="inlineStr">
        <is>
          <t>Savings</t>
        </is>
      </c>
      <c r="J747" s="7" t="inlineStr">
        <is>
          <t>Groceries</t>
        </is>
      </c>
      <c r="K747" s="9" t="n">
        <v>3081.55</v>
      </c>
      <c r="L747" s="9" t="n">
        <v>34618.43</v>
      </c>
      <c r="M747" s="7" t="inlineStr">
        <is>
          <t>ATM</t>
        </is>
      </c>
      <c r="N747" s="7" t="inlineStr">
        <is>
          <t>N</t>
        </is>
      </c>
      <c r="O747" s="7">
        <f>TEXT(D747, "dddd")</f>
        <v/>
      </c>
      <c r="P747" s="7">
        <f>"Q"&amp;ROUNDUP(MONTH(D747)/3, 0)</f>
        <v/>
      </c>
    </row>
    <row r="748">
      <c r="A748" s="4" t="inlineStr">
        <is>
          <t>TXN100751</t>
        </is>
      </c>
      <c r="B748" s="4" t="inlineStr">
        <is>
          <t>CUST0751</t>
        </is>
      </c>
      <c r="C748" s="4" t="inlineStr">
        <is>
          <t>2026-06-01 03:36:00</t>
        </is>
      </c>
      <c r="D748" s="4">
        <f>TEXT(LEFT(C748,10),"YYYY-MM-DD")</f>
        <v/>
      </c>
      <c r="E748" s="5">
        <f>HOUR(C748)</f>
        <v/>
      </c>
      <c r="F748" s="4" t="inlineStr">
        <is>
          <t>Female</t>
        </is>
      </c>
      <c r="G748" s="5" t="n">
        <v>41</v>
      </c>
      <c r="H748" s="4">
        <f>IF(G748&gt;=60, "Boomer", IF(G748&gt;=45, "Gen X", IF(G748&gt;=25, "Millennial", "Gen Z")))</f>
        <v/>
      </c>
      <c r="I748" s="4" t="inlineStr">
        <is>
          <t>Investment</t>
        </is>
      </c>
      <c r="J748" s="4" t="inlineStr">
        <is>
          <t>Entertainment</t>
        </is>
      </c>
      <c r="K748" s="6" t="n">
        <v>3210.91</v>
      </c>
      <c r="L748" s="6" t="n">
        <v>31797.49</v>
      </c>
      <c r="M748" s="4" t="inlineStr">
        <is>
          <t>Mobile App</t>
        </is>
      </c>
      <c r="N748" s="4" t="inlineStr">
        <is>
          <t>N</t>
        </is>
      </c>
      <c r="O748" s="4">
        <f>TEXT(D748, "dddd")</f>
        <v/>
      </c>
      <c r="P748" s="4">
        <f>"Q"&amp;ROUNDUP(MONTH(D748)/3, 0)</f>
        <v/>
      </c>
    </row>
    <row r="749">
      <c r="A749" s="7" t="inlineStr">
        <is>
          <t>TXN100752</t>
        </is>
      </c>
      <c r="B749" s="7" t="inlineStr">
        <is>
          <t>CUST0752</t>
        </is>
      </c>
      <c r="C749" s="7" t="inlineStr">
        <is>
          <t>2026-06-01 11:34:00</t>
        </is>
      </c>
      <c r="D749" s="7">
        <f>TEXT(LEFT(C749,10),"YYYY-MM-DD")</f>
        <v/>
      </c>
      <c r="E749" s="8">
        <f>HOUR(C749)</f>
        <v/>
      </c>
      <c r="F749" s="7" t="inlineStr">
        <is>
          <t>Female</t>
        </is>
      </c>
      <c r="G749" s="8" t="n">
        <v>25</v>
      </c>
      <c r="H749" s="7">
        <f>IF(G749&gt;=60, "Boomer", IF(G749&gt;=45, "Gen X", IF(G749&gt;=25, "Millennial", "Gen Z")))</f>
        <v/>
      </c>
      <c r="I749" s="7" t="inlineStr">
        <is>
          <t>Checking</t>
        </is>
      </c>
      <c r="J749" s="7" t="inlineStr">
        <is>
          <t>Entertainment</t>
        </is>
      </c>
      <c r="K749" s="9" t="n">
        <v>5185.86</v>
      </c>
      <c r="L749" s="9" t="n">
        <v>9242.610000000001</v>
      </c>
      <c r="M749" s="7" t="inlineStr">
        <is>
          <t>Mobile App</t>
        </is>
      </c>
      <c r="N749" s="7" t="inlineStr">
        <is>
          <t>N</t>
        </is>
      </c>
      <c r="O749" s="7">
        <f>TEXT(D749, "dddd")</f>
        <v/>
      </c>
      <c r="P749" s="7">
        <f>"Q"&amp;ROUNDUP(MONTH(D749)/3, 0)</f>
        <v/>
      </c>
    </row>
    <row r="750">
      <c r="A750" s="4" t="inlineStr">
        <is>
          <t>TXN100753</t>
        </is>
      </c>
      <c r="B750" s="4" t="inlineStr">
        <is>
          <t>CUST0753</t>
        </is>
      </c>
      <c r="C750" s="4" t="inlineStr">
        <is>
          <t>2026-06-01 12:42:00</t>
        </is>
      </c>
      <c r="D750" s="4">
        <f>TEXT(LEFT(C750,10),"YYYY-MM-DD")</f>
        <v/>
      </c>
      <c r="E750" s="5">
        <f>HOUR(C750)</f>
        <v/>
      </c>
      <c r="F750" s="4" t="inlineStr">
        <is>
          <t>Female</t>
        </is>
      </c>
      <c r="G750" s="5" t="n">
        <v>39</v>
      </c>
      <c r="H750" s="4">
        <f>IF(G750&gt;=60, "Boomer", IF(G750&gt;=45, "Gen X", IF(G750&gt;=25, "Millennial", "Gen Z")))</f>
        <v/>
      </c>
      <c r="I750" s="4" t="inlineStr">
        <is>
          <t>Investment</t>
        </is>
      </c>
      <c r="J750" s="4" t="inlineStr">
        <is>
          <t>Utilities</t>
        </is>
      </c>
      <c r="K750" s="6" t="n">
        <v>7172.72</v>
      </c>
      <c r="L750" s="6" t="n">
        <v>31715.54</v>
      </c>
      <c r="M750" s="4" t="inlineStr">
        <is>
          <t>Branch Office</t>
        </is>
      </c>
      <c r="N750" s="4" t="inlineStr">
        <is>
          <t>N</t>
        </is>
      </c>
      <c r="O750" s="4">
        <f>TEXT(D750, "dddd")</f>
        <v/>
      </c>
      <c r="P750" s="4">
        <f>"Q"&amp;ROUNDUP(MONTH(D750)/3, 0)</f>
        <v/>
      </c>
    </row>
    <row r="751">
      <c r="A751" s="7" t="inlineStr">
        <is>
          <t>TXN100754</t>
        </is>
      </c>
      <c r="B751" s="7" t="inlineStr">
        <is>
          <t>CUST0754</t>
        </is>
      </c>
      <c r="C751" s="7" t="inlineStr">
        <is>
          <t>2026-06-01 20:28:00</t>
        </is>
      </c>
      <c r="D751" s="7">
        <f>TEXT(LEFT(C751,10),"YYYY-MM-DD")</f>
        <v/>
      </c>
      <c r="E751" s="8">
        <f>HOUR(C751)</f>
        <v/>
      </c>
      <c r="F751" s="7" t="inlineStr">
        <is>
          <t>Female</t>
        </is>
      </c>
      <c r="G751" s="8" t="n">
        <v>28</v>
      </c>
      <c r="H751" s="7">
        <f>IF(G751&gt;=60, "Boomer", IF(G751&gt;=45, "Gen X", IF(G751&gt;=25, "Millennial", "Gen Z")))</f>
        <v/>
      </c>
      <c r="I751" s="7" t="inlineStr">
        <is>
          <t>Savings</t>
        </is>
      </c>
      <c r="J751" s="7" t="inlineStr">
        <is>
          <t>Groceries</t>
        </is>
      </c>
      <c r="K751" s="9" t="n">
        <v>212.66</v>
      </c>
      <c r="L751" s="9" t="n">
        <v>49820.99</v>
      </c>
      <c r="M751" s="7" t="inlineStr">
        <is>
          <t>Online Banking</t>
        </is>
      </c>
      <c r="N751" s="7" t="inlineStr">
        <is>
          <t>N</t>
        </is>
      </c>
      <c r="O751" s="7">
        <f>TEXT(D751, "dddd")</f>
        <v/>
      </c>
      <c r="P751" s="7">
        <f>"Q"&amp;ROUNDUP(MONTH(D751)/3, 0)</f>
        <v/>
      </c>
    </row>
    <row r="752">
      <c r="A752" s="4" t="inlineStr">
        <is>
          <t>TXN100755</t>
        </is>
      </c>
      <c r="B752" s="4" t="inlineStr">
        <is>
          <t>CUST0755</t>
        </is>
      </c>
      <c r="C752" s="4" t="inlineStr">
        <is>
          <t>2026-06-01 15:24:00</t>
        </is>
      </c>
      <c r="D752" s="4">
        <f>TEXT(LEFT(C752,10),"YYYY-MM-DD")</f>
        <v/>
      </c>
      <c r="E752" s="5">
        <f>HOUR(C752)</f>
        <v/>
      </c>
      <c r="F752" s="4" t="inlineStr">
        <is>
          <t>Male</t>
        </is>
      </c>
      <c r="G752" s="5" t="n">
        <v>70</v>
      </c>
      <c r="H752" s="4">
        <f>IF(G752&gt;=60, "Boomer", IF(G752&gt;=45, "Gen X", IF(G752&gt;=25, "Millennial", "Gen Z")))</f>
        <v/>
      </c>
      <c r="I752" s="4" t="inlineStr">
        <is>
          <t>Investment</t>
        </is>
      </c>
      <c r="J752" s="4" t="inlineStr">
        <is>
          <t>Entertainment</t>
        </is>
      </c>
      <c r="K752" s="6" t="n">
        <v>4002.48</v>
      </c>
      <c r="L752" s="6" t="n">
        <v>48265.22</v>
      </c>
      <c r="M752" s="4" t="inlineStr">
        <is>
          <t>ATM</t>
        </is>
      </c>
      <c r="N752" s="4" t="inlineStr">
        <is>
          <t>N</t>
        </is>
      </c>
      <c r="O752" s="4">
        <f>TEXT(D752, "dddd")</f>
        <v/>
      </c>
      <c r="P752" s="4">
        <f>"Q"&amp;ROUNDUP(MONTH(D752)/3, 0)</f>
        <v/>
      </c>
    </row>
    <row r="753">
      <c r="A753" s="7" t="inlineStr">
        <is>
          <t>TXN100756</t>
        </is>
      </c>
      <c r="B753" s="7" t="inlineStr">
        <is>
          <t>CUST0756</t>
        </is>
      </c>
      <c r="C753" s="7" t="inlineStr">
        <is>
          <t>2026-06-01 00:02:00</t>
        </is>
      </c>
      <c r="D753" s="7">
        <f>TEXT(LEFT(C753,10),"YYYY-MM-DD")</f>
        <v/>
      </c>
      <c r="E753" s="8">
        <f>HOUR(C753)</f>
        <v/>
      </c>
      <c r="F753" s="7" t="inlineStr">
        <is>
          <t>Female</t>
        </is>
      </c>
      <c r="G753" s="8" t="n">
        <v>23</v>
      </c>
      <c r="H753" s="7">
        <f>IF(G753&gt;=60, "Boomer", IF(G753&gt;=45, "Gen X", IF(G753&gt;=25, "Millennial", "Gen Z")))</f>
        <v/>
      </c>
      <c r="I753" s="7" t="inlineStr">
        <is>
          <t>Checking</t>
        </is>
      </c>
      <c r="J753" s="7" t="inlineStr">
        <is>
          <t>Groceries</t>
        </is>
      </c>
      <c r="K753" s="9" t="n">
        <v>3250.01</v>
      </c>
      <c r="L753" s="9" t="n">
        <v>10978.07</v>
      </c>
      <c r="M753" s="7" t="inlineStr">
        <is>
          <t>ATM</t>
        </is>
      </c>
      <c r="N753" s="7" t="inlineStr">
        <is>
          <t>N</t>
        </is>
      </c>
      <c r="O753" s="7">
        <f>TEXT(D753, "dddd")</f>
        <v/>
      </c>
      <c r="P753" s="7">
        <f>"Q"&amp;ROUNDUP(MONTH(D753)/3, 0)</f>
        <v/>
      </c>
    </row>
    <row r="754">
      <c r="A754" s="4" t="inlineStr">
        <is>
          <t>TXN100757</t>
        </is>
      </c>
      <c r="B754" s="4" t="inlineStr">
        <is>
          <t>CUST0757</t>
        </is>
      </c>
      <c r="C754" s="4" t="inlineStr">
        <is>
          <t>2026-06-01 21:55:00</t>
        </is>
      </c>
      <c r="D754" s="4">
        <f>TEXT(LEFT(C754,10),"YYYY-MM-DD")</f>
        <v/>
      </c>
      <c r="E754" s="5">
        <f>HOUR(C754)</f>
        <v/>
      </c>
      <c r="F754" s="4" t="inlineStr">
        <is>
          <t>Male</t>
        </is>
      </c>
      <c r="G754" s="5" t="n">
        <v>67</v>
      </c>
      <c r="H754" s="4">
        <f>IF(G754&gt;=60, "Boomer", IF(G754&gt;=45, "Gen X", IF(G754&gt;=25, "Millennial", "Gen Z")))</f>
        <v/>
      </c>
      <c r="I754" s="4" t="inlineStr">
        <is>
          <t>Investment</t>
        </is>
      </c>
      <c r="J754" s="4" t="inlineStr">
        <is>
          <t>Groceries</t>
        </is>
      </c>
      <c r="K754" s="6" t="n">
        <v>7399.28</v>
      </c>
      <c r="L754" s="6" t="n">
        <v>2325.44</v>
      </c>
      <c r="M754" s="4" t="inlineStr">
        <is>
          <t>Online Banking</t>
        </is>
      </c>
      <c r="N754" s="4" t="inlineStr">
        <is>
          <t>N</t>
        </is>
      </c>
      <c r="O754" s="4">
        <f>TEXT(D754, "dddd")</f>
        <v/>
      </c>
      <c r="P754" s="4">
        <f>"Q"&amp;ROUNDUP(MONTH(D754)/3, 0)</f>
        <v/>
      </c>
    </row>
    <row r="755">
      <c r="A755" s="7" t="inlineStr">
        <is>
          <t>TXN100758</t>
        </is>
      </c>
      <c r="B755" s="7" t="inlineStr">
        <is>
          <t>CUST0758</t>
        </is>
      </c>
      <c r="C755" s="7" t="inlineStr">
        <is>
          <t>2026-06-01 00:30:00</t>
        </is>
      </c>
      <c r="D755" s="7">
        <f>TEXT(LEFT(C755,10),"YYYY-MM-DD")</f>
        <v/>
      </c>
      <c r="E755" s="8">
        <f>HOUR(C755)</f>
        <v/>
      </c>
      <c r="F755" s="7" t="inlineStr">
        <is>
          <t>Male</t>
        </is>
      </c>
      <c r="G755" s="8" t="n">
        <v>35</v>
      </c>
      <c r="H755" s="7">
        <f>IF(G755&gt;=60, "Boomer", IF(G755&gt;=45, "Gen X", IF(G755&gt;=25, "Millennial", "Gen Z")))</f>
        <v/>
      </c>
      <c r="I755" s="7" t="inlineStr">
        <is>
          <t>Investment</t>
        </is>
      </c>
      <c r="J755" s="7" t="inlineStr">
        <is>
          <t>Groceries</t>
        </is>
      </c>
      <c r="K755" s="9" t="n">
        <v>124.78</v>
      </c>
      <c r="L755" s="9" t="n">
        <v>31816.74</v>
      </c>
      <c r="M755" s="7" t="inlineStr">
        <is>
          <t>Branch Office</t>
        </is>
      </c>
      <c r="N755" s="7" t="inlineStr">
        <is>
          <t>N</t>
        </is>
      </c>
      <c r="O755" s="7">
        <f>TEXT(D755, "dddd")</f>
        <v/>
      </c>
      <c r="P755" s="7">
        <f>"Q"&amp;ROUNDUP(MONTH(D755)/3, 0)</f>
        <v/>
      </c>
    </row>
    <row r="756">
      <c r="A756" s="4" t="inlineStr">
        <is>
          <t>TXN100759</t>
        </is>
      </c>
      <c r="B756" s="4" t="inlineStr">
        <is>
          <t>CUST0759</t>
        </is>
      </c>
      <c r="C756" s="4" t="inlineStr">
        <is>
          <t>2026-06-01 03:29:00</t>
        </is>
      </c>
      <c r="D756" s="4">
        <f>TEXT(LEFT(C756,10),"YYYY-MM-DD")</f>
        <v/>
      </c>
      <c r="E756" s="5">
        <f>HOUR(C756)</f>
        <v/>
      </c>
      <c r="F756" s="4" t="inlineStr">
        <is>
          <t>Male</t>
        </is>
      </c>
      <c r="G756" s="5" t="n">
        <v>73</v>
      </c>
      <c r="H756" s="4">
        <f>IF(G756&gt;=60, "Boomer", IF(G756&gt;=45, "Gen X", IF(G756&gt;=25, "Millennial", "Gen Z")))</f>
        <v/>
      </c>
      <c r="I756" s="4" t="inlineStr">
        <is>
          <t>Investment</t>
        </is>
      </c>
      <c r="J756" s="4" t="inlineStr">
        <is>
          <t>Groceries</t>
        </is>
      </c>
      <c r="K756" s="6" t="n">
        <v>6544.22</v>
      </c>
      <c r="L756" s="6" t="n">
        <v>5763.39</v>
      </c>
      <c r="M756" s="4" t="inlineStr">
        <is>
          <t>ATM</t>
        </is>
      </c>
      <c r="N756" s="4" t="inlineStr">
        <is>
          <t>N</t>
        </is>
      </c>
      <c r="O756" s="4">
        <f>TEXT(D756, "dddd")</f>
        <v/>
      </c>
      <c r="P756" s="4">
        <f>"Q"&amp;ROUNDUP(MONTH(D756)/3, 0)</f>
        <v/>
      </c>
    </row>
    <row r="757">
      <c r="A757" s="7" t="inlineStr">
        <is>
          <t>TXN100760</t>
        </is>
      </c>
      <c r="B757" s="7" t="inlineStr">
        <is>
          <t>CUST0760</t>
        </is>
      </c>
      <c r="C757" s="7" t="inlineStr">
        <is>
          <t>2026-06-01 19:51:00</t>
        </is>
      </c>
      <c r="D757" s="7">
        <f>TEXT(LEFT(C757,10),"YYYY-MM-DD")</f>
        <v/>
      </c>
      <c r="E757" s="8">
        <f>HOUR(C757)</f>
        <v/>
      </c>
      <c r="F757" s="7" t="inlineStr">
        <is>
          <t>Female</t>
        </is>
      </c>
      <c r="G757" s="8" t="n">
        <v>24</v>
      </c>
      <c r="H757" s="7">
        <f>IF(G757&gt;=60, "Boomer", IF(G757&gt;=45, "Gen X", IF(G757&gt;=25, "Millennial", "Gen Z")))</f>
        <v/>
      </c>
      <c r="I757" s="7" t="inlineStr">
        <is>
          <t>Savings</t>
        </is>
      </c>
      <c r="J757" s="7" t="inlineStr">
        <is>
          <t>Utilities</t>
        </is>
      </c>
      <c r="K757" s="9" t="n">
        <v>2705.37</v>
      </c>
      <c r="L757" s="9" t="n">
        <v>41876.85</v>
      </c>
      <c r="M757" s="7" t="inlineStr">
        <is>
          <t>ATM</t>
        </is>
      </c>
      <c r="N757" s="7" t="inlineStr">
        <is>
          <t>N</t>
        </is>
      </c>
      <c r="O757" s="7">
        <f>TEXT(D757, "dddd")</f>
        <v/>
      </c>
      <c r="P757" s="7">
        <f>"Q"&amp;ROUNDUP(MONTH(D757)/3, 0)</f>
        <v/>
      </c>
    </row>
    <row r="758">
      <c r="A758" s="4" t="inlineStr">
        <is>
          <t>TXN100761</t>
        </is>
      </c>
      <c r="B758" s="4" t="inlineStr">
        <is>
          <t>CUST0761</t>
        </is>
      </c>
      <c r="C758" s="4" t="inlineStr">
        <is>
          <t>2026-06-01 10:07:00</t>
        </is>
      </c>
      <c r="D758" s="4">
        <f>TEXT(LEFT(C758,10),"YYYY-MM-DD")</f>
        <v/>
      </c>
      <c r="E758" s="5">
        <f>HOUR(C758)</f>
        <v/>
      </c>
      <c r="F758" s="4" t="inlineStr">
        <is>
          <t>Male</t>
        </is>
      </c>
      <c r="G758" s="5" t="n">
        <v>40</v>
      </c>
      <c r="H758" s="4">
        <f>IF(G758&gt;=60, "Boomer", IF(G758&gt;=45, "Gen X", IF(G758&gt;=25, "Millennial", "Gen Z")))</f>
        <v/>
      </c>
      <c r="I758" s="4" t="inlineStr">
        <is>
          <t>Savings</t>
        </is>
      </c>
      <c r="J758" s="4" t="inlineStr">
        <is>
          <t>Groceries</t>
        </is>
      </c>
      <c r="K758" s="6" t="n">
        <v>4748.75</v>
      </c>
      <c r="L758" s="6" t="n">
        <v>17107.43</v>
      </c>
      <c r="M758" s="4" t="inlineStr">
        <is>
          <t>Mobile App</t>
        </is>
      </c>
      <c r="N758" s="4" t="inlineStr">
        <is>
          <t>N</t>
        </is>
      </c>
      <c r="O758" s="4">
        <f>TEXT(D758, "dddd")</f>
        <v/>
      </c>
      <c r="P758" s="4">
        <f>"Q"&amp;ROUNDUP(MONTH(D758)/3, 0)</f>
        <v/>
      </c>
    </row>
    <row r="759">
      <c r="A759" s="7" t="inlineStr">
        <is>
          <t>TXN100762</t>
        </is>
      </c>
      <c r="B759" s="7" t="inlineStr">
        <is>
          <t>CUST0762</t>
        </is>
      </c>
      <c r="C759" s="7" t="inlineStr">
        <is>
          <t>2026-06-01 08:09:00</t>
        </is>
      </c>
      <c r="D759" s="7">
        <f>TEXT(LEFT(C759,10),"YYYY-MM-DD")</f>
        <v/>
      </c>
      <c r="E759" s="8">
        <f>HOUR(C759)</f>
        <v/>
      </c>
      <c r="F759" s="7" t="inlineStr">
        <is>
          <t>Unspecified</t>
        </is>
      </c>
      <c r="G759" s="8" t="n">
        <v>30</v>
      </c>
      <c r="H759" s="7">
        <f>IF(G759&gt;=60, "Boomer", IF(G759&gt;=45, "Gen X", IF(G759&gt;=25, "Millennial", "Gen Z")))</f>
        <v/>
      </c>
      <c r="I759" s="7" t="inlineStr">
        <is>
          <t>Investment</t>
        </is>
      </c>
      <c r="J759" s="7" t="inlineStr">
        <is>
          <t>Entertainment</t>
        </is>
      </c>
      <c r="K759" s="9" t="n">
        <v>4431.73</v>
      </c>
      <c r="L759" s="9" t="n">
        <v>22213.73</v>
      </c>
      <c r="M759" s="7" t="inlineStr">
        <is>
          <t>Mobile App</t>
        </is>
      </c>
      <c r="N759" s="7" t="inlineStr">
        <is>
          <t>N</t>
        </is>
      </c>
      <c r="O759" s="7">
        <f>TEXT(D759, "dddd")</f>
        <v/>
      </c>
      <c r="P759" s="7">
        <f>"Q"&amp;ROUNDUP(MONTH(D759)/3, 0)</f>
        <v/>
      </c>
    </row>
    <row r="760">
      <c r="A760" s="4" t="inlineStr">
        <is>
          <t>TXN100763</t>
        </is>
      </c>
      <c r="B760" s="4" t="inlineStr">
        <is>
          <t>CUST0763</t>
        </is>
      </c>
      <c r="C760" s="4" t="inlineStr">
        <is>
          <t>2026-06-01 04:06:00</t>
        </is>
      </c>
      <c r="D760" s="4">
        <f>TEXT(LEFT(C760,10),"YYYY-MM-DD")</f>
        <v/>
      </c>
      <c r="E760" s="5">
        <f>HOUR(C760)</f>
        <v/>
      </c>
      <c r="F760" s="4" t="inlineStr">
        <is>
          <t>Unspecified</t>
        </is>
      </c>
      <c r="G760" s="5" t="n">
        <v>69</v>
      </c>
      <c r="H760" s="4">
        <f>IF(G760&gt;=60, "Boomer", IF(G760&gt;=45, "Gen X", IF(G760&gt;=25, "Millennial", "Gen Z")))</f>
        <v/>
      </c>
      <c r="I760" s="4" t="inlineStr">
        <is>
          <t>Savings</t>
        </is>
      </c>
      <c r="J760" s="4" t="inlineStr">
        <is>
          <t>Groceries</t>
        </is>
      </c>
      <c r="K760" s="6" t="n">
        <v>7038.22</v>
      </c>
      <c r="L760" s="6" t="n">
        <v>4495.77</v>
      </c>
      <c r="M760" s="4" t="inlineStr">
        <is>
          <t>Mobile App</t>
        </is>
      </c>
      <c r="N760" s="4" t="inlineStr">
        <is>
          <t>N</t>
        </is>
      </c>
      <c r="O760" s="4">
        <f>TEXT(D760, "dddd")</f>
        <v/>
      </c>
      <c r="P760" s="4">
        <f>"Q"&amp;ROUNDUP(MONTH(D760)/3, 0)</f>
        <v/>
      </c>
    </row>
    <row r="761">
      <c r="A761" s="7" t="inlineStr">
        <is>
          <t>TXN100764</t>
        </is>
      </c>
      <c r="B761" s="7" t="inlineStr">
        <is>
          <t>CUST0764</t>
        </is>
      </c>
      <c r="C761" s="7" t="inlineStr">
        <is>
          <t>2026-06-01 02:45:00</t>
        </is>
      </c>
      <c r="D761" s="7">
        <f>TEXT(LEFT(C761,10),"YYYY-MM-DD")</f>
        <v/>
      </c>
      <c r="E761" s="8">
        <f>HOUR(C761)</f>
        <v/>
      </c>
      <c r="F761" s="7" t="inlineStr">
        <is>
          <t>Female</t>
        </is>
      </c>
      <c r="G761" s="8" t="n">
        <v>46</v>
      </c>
      <c r="H761" s="7">
        <f>IF(G761&gt;=60, "Boomer", IF(G761&gt;=45, "Gen X", IF(G761&gt;=25, "Millennial", "Gen Z")))</f>
        <v/>
      </c>
      <c r="I761" s="7" t="inlineStr">
        <is>
          <t>Investment</t>
        </is>
      </c>
      <c r="J761" s="7" t="inlineStr">
        <is>
          <t>Utilities</t>
        </is>
      </c>
      <c r="K761" s="9" t="n">
        <v>5541.94</v>
      </c>
      <c r="L761" s="9" t="n">
        <v>10704.93</v>
      </c>
      <c r="M761" s="7" t="inlineStr">
        <is>
          <t>Branch Office</t>
        </is>
      </c>
      <c r="N761" s="7" t="inlineStr">
        <is>
          <t>N</t>
        </is>
      </c>
      <c r="O761" s="7">
        <f>TEXT(D761, "dddd")</f>
        <v/>
      </c>
      <c r="P761" s="7">
        <f>"Q"&amp;ROUNDUP(MONTH(D761)/3, 0)</f>
        <v/>
      </c>
    </row>
    <row r="762">
      <c r="A762" s="4" t="inlineStr">
        <is>
          <t>TXN100765</t>
        </is>
      </c>
      <c r="B762" s="4" t="inlineStr">
        <is>
          <t>CUST0765</t>
        </is>
      </c>
      <c r="C762" s="4" t="inlineStr">
        <is>
          <t>2026-06-01 16:28:00</t>
        </is>
      </c>
      <c r="D762" s="4">
        <f>TEXT(LEFT(C762,10),"YYYY-MM-DD")</f>
        <v/>
      </c>
      <c r="E762" s="5">
        <f>HOUR(C762)</f>
        <v/>
      </c>
      <c r="F762" s="4" t="inlineStr">
        <is>
          <t>Unspecified</t>
        </is>
      </c>
      <c r="G762" s="5" t="n">
        <v>35</v>
      </c>
      <c r="H762" s="4">
        <f>IF(G762&gt;=60, "Boomer", IF(G762&gt;=45, "Gen X", IF(G762&gt;=25, "Millennial", "Gen Z")))</f>
        <v/>
      </c>
      <c r="I762" s="4" t="inlineStr">
        <is>
          <t>Savings</t>
        </is>
      </c>
      <c r="J762" s="4" t="inlineStr">
        <is>
          <t>Travel</t>
        </is>
      </c>
      <c r="K762" s="6" t="n">
        <v>5536.47</v>
      </c>
      <c r="L762" s="6" t="n">
        <v>30015.46</v>
      </c>
      <c r="M762" s="4" t="inlineStr">
        <is>
          <t>ATM</t>
        </is>
      </c>
      <c r="N762" s="4" t="inlineStr">
        <is>
          <t>N</t>
        </is>
      </c>
      <c r="O762" s="4">
        <f>TEXT(D762, "dddd")</f>
        <v/>
      </c>
      <c r="P762" s="4">
        <f>"Q"&amp;ROUNDUP(MONTH(D762)/3, 0)</f>
        <v/>
      </c>
    </row>
    <row r="763">
      <c r="A763" s="7" t="inlineStr">
        <is>
          <t>TXN100766</t>
        </is>
      </c>
      <c r="B763" s="7" t="inlineStr">
        <is>
          <t>CUST0766</t>
        </is>
      </c>
      <c r="C763" s="7" t="inlineStr">
        <is>
          <t>2026-06-01 19:05:00</t>
        </is>
      </c>
      <c r="D763" s="7">
        <f>TEXT(LEFT(C763,10),"YYYY-MM-DD")</f>
        <v/>
      </c>
      <c r="E763" s="8">
        <f>HOUR(C763)</f>
        <v/>
      </c>
      <c r="F763" s="7" t="inlineStr">
        <is>
          <t>Female</t>
        </is>
      </c>
      <c r="G763" s="8" t="n">
        <v>42</v>
      </c>
      <c r="H763" s="7">
        <f>IF(G763&gt;=60, "Boomer", IF(G763&gt;=45, "Gen X", IF(G763&gt;=25, "Millennial", "Gen Z")))</f>
        <v/>
      </c>
      <c r="I763" s="7" t="inlineStr">
        <is>
          <t>Checking</t>
        </is>
      </c>
      <c r="J763" s="7" t="inlineStr">
        <is>
          <t>Groceries</t>
        </is>
      </c>
      <c r="K763" s="9" t="n">
        <v>4466.11</v>
      </c>
      <c r="L763" s="9" t="n">
        <v>9999.190000000001</v>
      </c>
      <c r="M763" s="7" t="inlineStr">
        <is>
          <t>Mobile App</t>
        </is>
      </c>
      <c r="N763" s="7" t="inlineStr">
        <is>
          <t>N</t>
        </is>
      </c>
      <c r="O763" s="7">
        <f>TEXT(D763, "dddd")</f>
        <v/>
      </c>
      <c r="P763" s="7">
        <f>"Q"&amp;ROUNDUP(MONTH(D763)/3, 0)</f>
        <v/>
      </c>
    </row>
    <row r="764">
      <c r="A764" s="4" t="inlineStr">
        <is>
          <t>TXN100767</t>
        </is>
      </c>
      <c r="B764" s="4" t="inlineStr">
        <is>
          <t>CUST0767</t>
        </is>
      </c>
      <c r="C764" s="4" t="inlineStr">
        <is>
          <t>2026-06-01 19:23:00</t>
        </is>
      </c>
      <c r="D764" s="4">
        <f>TEXT(LEFT(C764,10),"YYYY-MM-DD")</f>
        <v/>
      </c>
      <c r="E764" s="5">
        <f>HOUR(C764)</f>
        <v/>
      </c>
      <c r="F764" s="4" t="inlineStr">
        <is>
          <t>Female</t>
        </is>
      </c>
      <c r="G764" s="5" t="n">
        <v>49</v>
      </c>
      <c r="H764" s="4">
        <f>IF(G764&gt;=60, "Boomer", IF(G764&gt;=45, "Gen X", IF(G764&gt;=25, "Millennial", "Gen Z")))</f>
        <v/>
      </c>
      <c r="I764" s="4" t="inlineStr">
        <is>
          <t>Investment</t>
        </is>
      </c>
      <c r="J764" s="4" t="inlineStr">
        <is>
          <t>Groceries</t>
        </is>
      </c>
      <c r="K764" s="6" t="n">
        <v>2218.65</v>
      </c>
      <c r="L764" s="6" t="n">
        <v>10089.09</v>
      </c>
      <c r="M764" s="4" t="inlineStr">
        <is>
          <t>Online Banking</t>
        </is>
      </c>
      <c r="N764" s="4" t="inlineStr">
        <is>
          <t>N</t>
        </is>
      </c>
      <c r="O764" s="4">
        <f>TEXT(D764, "dddd")</f>
        <v/>
      </c>
      <c r="P764" s="4">
        <f>"Q"&amp;ROUNDUP(MONTH(D764)/3, 0)</f>
        <v/>
      </c>
    </row>
    <row r="765">
      <c r="A765" s="7" t="inlineStr">
        <is>
          <t>TXN100768</t>
        </is>
      </c>
      <c r="B765" s="7" t="inlineStr">
        <is>
          <t>CUST0768</t>
        </is>
      </c>
      <c r="C765" s="7" t="inlineStr">
        <is>
          <t>2026-06-01 21:54:00</t>
        </is>
      </c>
      <c r="D765" s="7">
        <f>TEXT(LEFT(C765,10),"YYYY-MM-DD")</f>
        <v/>
      </c>
      <c r="E765" s="8">
        <f>HOUR(C765)</f>
        <v/>
      </c>
      <c r="F765" s="7" t="inlineStr">
        <is>
          <t>Unspecified</t>
        </is>
      </c>
      <c r="G765" s="8" t="n">
        <v>51</v>
      </c>
      <c r="H765" s="7">
        <f>IF(G765&gt;=60, "Boomer", IF(G765&gt;=45, "Gen X", IF(G765&gt;=25, "Millennial", "Gen Z")))</f>
        <v/>
      </c>
      <c r="I765" s="7" t="inlineStr">
        <is>
          <t>Savings</t>
        </is>
      </c>
      <c r="J765" s="7" t="inlineStr">
        <is>
          <t>Groceries</t>
        </is>
      </c>
      <c r="K765" s="9" t="n">
        <v>5364.44</v>
      </c>
      <c r="L765" s="9" t="n">
        <v>2634.22</v>
      </c>
      <c r="M765" s="7" t="inlineStr">
        <is>
          <t>Branch Office</t>
        </is>
      </c>
      <c r="N765" s="7" t="inlineStr">
        <is>
          <t>N</t>
        </is>
      </c>
      <c r="O765" s="7">
        <f>TEXT(D765, "dddd")</f>
        <v/>
      </c>
      <c r="P765" s="7">
        <f>"Q"&amp;ROUNDUP(MONTH(D765)/3, 0)</f>
        <v/>
      </c>
    </row>
    <row r="766">
      <c r="A766" s="4" t="inlineStr">
        <is>
          <t>TXN100769</t>
        </is>
      </c>
      <c r="B766" s="4" t="inlineStr">
        <is>
          <t>CUST0769</t>
        </is>
      </c>
      <c r="C766" s="4" t="inlineStr">
        <is>
          <t>2026-06-01 09:13:00</t>
        </is>
      </c>
      <c r="D766" s="4">
        <f>TEXT(LEFT(C766,10),"YYYY-MM-DD")</f>
        <v/>
      </c>
      <c r="E766" s="5">
        <f>HOUR(C766)</f>
        <v/>
      </c>
      <c r="F766" s="4" t="inlineStr">
        <is>
          <t>Unspecified</t>
        </is>
      </c>
      <c r="G766" s="5" t="n">
        <v>36</v>
      </c>
      <c r="H766" s="4">
        <f>IF(G766&gt;=60, "Boomer", IF(G766&gt;=45, "Gen X", IF(G766&gt;=25, "Millennial", "Gen Z")))</f>
        <v/>
      </c>
      <c r="I766" s="4" t="inlineStr">
        <is>
          <t>Checking</t>
        </is>
      </c>
      <c r="J766" s="4" t="inlineStr">
        <is>
          <t>Travel</t>
        </is>
      </c>
      <c r="K766" s="6" t="n">
        <v>6443.18</v>
      </c>
      <c r="L766" s="6" t="n">
        <v>38041.2</v>
      </c>
      <c r="M766" s="4" t="inlineStr">
        <is>
          <t>Mobile App</t>
        </is>
      </c>
      <c r="N766" s="4" t="inlineStr">
        <is>
          <t>N</t>
        </is>
      </c>
      <c r="O766" s="4">
        <f>TEXT(D766, "dddd")</f>
        <v/>
      </c>
      <c r="P766" s="4">
        <f>"Q"&amp;ROUNDUP(MONTH(D766)/3, 0)</f>
        <v/>
      </c>
    </row>
    <row r="767">
      <c r="A767" s="7" t="inlineStr">
        <is>
          <t>TXN100770</t>
        </is>
      </c>
      <c r="B767" s="7" t="inlineStr">
        <is>
          <t>CUST0770</t>
        </is>
      </c>
      <c r="C767" s="7" t="inlineStr">
        <is>
          <t>2026-06-01 03:47:00</t>
        </is>
      </c>
      <c r="D767" s="7">
        <f>TEXT(LEFT(C767,10),"YYYY-MM-DD")</f>
        <v/>
      </c>
      <c r="E767" s="8">
        <f>HOUR(C767)</f>
        <v/>
      </c>
      <c r="F767" s="7" t="inlineStr">
        <is>
          <t>Male</t>
        </is>
      </c>
      <c r="G767" s="8" t="n">
        <v>54</v>
      </c>
      <c r="H767" s="7">
        <f>IF(G767&gt;=60, "Boomer", IF(G767&gt;=45, "Gen X", IF(G767&gt;=25, "Millennial", "Gen Z")))</f>
        <v/>
      </c>
      <c r="I767" s="7" t="inlineStr">
        <is>
          <t>Savings</t>
        </is>
      </c>
      <c r="J767" s="7" t="inlineStr">
        <is>
          <t>Groceries</t>
        </is>
      </c>
      <c r="K767" s="9" t="n">
        <v>6286.08</v>
      </c>
      <c r="L767" s="9" t="n">
        <v>24510.54</v>
      </c>
      <c r="M767" s="7" t="inlineStr">
        <is>
          <t>Mobile App</t>
        </is>
      </c>
      <c r="N767" s="7" t="inlineStr">
        <is>
          <t>N</t>
        </is>
      </c>
      <c r="O767" s="7">
        <f>TEXT(D767, "dddd")</f>
        <v/>
      </c>
      <c r="P767" s="7">
        <f>"Q"&amp;ROUNDUP(MONTH(D767)/3, 0)</f>
        <v/>
      </c>
    </row>
    <row r="768">
      <c r="A768" s="4" t="inlineStr">
        <is>
          <t>TXN100771</t>
        </is>
      </c>
      <c r="B768" s="4" t="inlineStr">
        <is>
          <t>CUST0771</t>
        </is>
      </c>
      <c r="C768" s="4" t="inlineStr">
        <is>
          <t>2026-06-01 02:57:00</t>
        </is>
      </c>
      <c r="D768" s="4">
        <f>TEXT(LEFT(C768,10),"YYYY-MM-DD")</f>
        <v/>
      </c>
      <c r="E768" s="5">
        <f>HOUR(C768)</f>
        <v/>
      </c>
      <c r="F768" s="4" t="inlineStr">
        <is>
          <t>Female</t>
        </is>
      </c>
      <c r="G768" s="5" t="n">
        <v>66</v>
      </c>
      <c r="H768" s="4">
        <f>IF(G768&gt;=60, "Boomer", IF(G768&gt;=45, "Gen X", IF(G768&gt;=25, "Millennial", "Gen Z")))</f>
        <v/>
      </c>
      <c r="I768" s="4" t="inlineStr">
        <is>
          <t>Checking</t>
        </is>
      </c>
      <c r="J768" s="4" t="inlineStr">
        <is>
          <t>Travel</t>
        </is>
      </c>
      <c r="K768" s="6" t="n">
        <v>4642.3</v>
      </c>
      <c r="L768" s="6" t="n">
        <v>21243.78</v>
      </c>
      <c r="M768" s="4" t="inlineStr">
        <is>
          <t>Branch Office</t>
        </is>
      </c>
      <c r="N768" s="4" t="inlineStr">
        <is>
          <t>N</t>
        </is>
      </c>
      <c r="O768" s="4">
        <f>TEXT(D768, "dddd")</f>
        <v/>
      </c>
      <c r="P768" s="4">
        <f>"Q"&amp;ROUNDUP(MONTH(D768)/3, 0)</f>
        <v/>
      </c>
    </row>
    <row r="769">
      <c r="A769" s="7" t="inlineStr">
        <is>
          <t>TXN100772</t>
        </is>
      </c>
      <c r="B769" s="7" t="inlineStr">
        <is>
          <t>CUST0772</t>
        </is>
      </c>
      <c r="C769" s="7" t="inlineStr">
        <is>
          <t>2026-06-01 07:49:00</t>
        </is>
      </c>
      <c r="D769" s="7">
        <f>TEXT(LEFT(C769,10),"YYYY-MM-DD")</f>
        <v/>
      </c>
      <c r="E769" s="8">
        <f>HOUR(C769)</f>
        <v/>
      </c>
      <c r="F769" s="7" t="inlineStr">
        <is>
          <t>Male</t>
        </is>
      </c>
      <c r="G769" s="8" t="n">
        <v>40</v>
      </c>
      <c r="H769" s="7">
        <f>IF(G769&gt;=60, "Boomer", IF(G769&gt;=45, "Gen X", IF(G769&gt;=25, "Millennial", "Gen Z")))</f>
        <v/>
      </c>
      <c r="I769" s="7" t="inlineStr">
        <is>
          <t>Savings</t>
        </is>
      </c>
      <c r="J769" s="7" t="inlineStr">
        <is>
          <t>Groceries</t>
        </is>
      </c>
      <c r="K769" s="9" t="n">
        <v>1904.58</v>
      </c>
      <c r="L769" s="9" t="n">
        <v>20923.48</v>
      </c>
      <c r="M769" s="7" t="inlineStr">
        <is>
          <t>Online Banking</t>
        </is>
      </c>
      <c r="N769" s="7" t="inlineStr">
        <is>
          <t>N</t>
        </is>
      </c>
      <c r="O769" s="7">
        <f>TEXT(D769, "dddd")</f>
        <v/>
      </c>
      <c r="P769" s="7">
        <f>"Q"&amp;ROUNDUP(MONTH(D769)/3, 0)</f>
        <v/>
      </c>
    </row>
    <row r="770">
      <c r="A770" s="4" t="inlineStr">
        <is>
          <t>TXN100773</t>
        </is>
      </c>
      <c r="B770" s="4" t="inlineStr">
        <is>
          <t>CUST0773</t>
        </is>
      </c>
      <c r="C770" s="4" t="inlineStr">
        <is>
          <t>2026-06-01 12:57:00</t>
        </is>
      </c>
      <c r="D770" s="4">
        <f>TEXT(LEFT(C770,10),"YYYY-MM-DD")</f>
        <v/>
      </c>
      <c r="E770" s="5">
        <f>HOUR(C770)</f>
        <v/>
      </c>
      <c r="F770" s="4" t="inlineStr">
        <is>
          <t>Female</t>
        </is>
      </c>
      <c r="G770" s="5" t="n">
        <v>24</v>
      </c>
      <c r="H770" s="4">
        <f>IF(G770&gt;=60, "Boomer", IF(G770&gt;=45, "Gen X", IF(G770&gt;=25, "Millennial", "Gen Z")))</f>
        <v/>
      </c>
      <c r="I770" s="4" t="inlineStr">
        <is>
          <t>Checking</t>
        </is>
      </c>
      <c r="J770" s="4" t="inlineStr">
        <is>
          <t>Travel</t>
        </is>
      </c>
      <c r="K770" s="6" t="n">
        <v>3880.42</v>
      </c>
      <c r="L770" s="6" t="n">
        <v>44579.2</v>
      </c>
      <c r="M770" s="4" t="inlineStr">
        <is>
          <t>Online Banking</t>
        </is>
      </c>
      <c r="N770" s="4" t="inlineStr">
        <is>
          <t>N</t>
        </is>
      </c>
      <c r="O770" s="4">
        <f>TEXT(D770, "dddd")</f>
        <v/>
      </c>
      <c r="P770" s="4">
        <f>"Q"&amp;ROUNDUP(MONTH(D770)/3, 0)</f>
        <v/>
      </c>
    </row>
    <row r="771">
      <c r="A771" s="7" t="inlineStr">
        <is>
          <t>TXN100774</t>
        </is>
      </c>
      <c r="B771" s="7" t="inlineStr">
        <is>
          <t>CUST0774</t>
        </is>
      </c>
      <c r="C771" s="7" t="inlineStr">
        <is>
          <t>2026-06-01 06:59:00</t>
        </is>
      </c>
      <c r="D771" s="7">
        <f>TEXT(LEFT(C771,10),"YYYY-MM-DD")</f>
        <v/>
      </c>
      <c r="E771" s="8">
        <f>HOUR(C771)</f>
        <v/>
      </c>
      <c r="F771" s="7" t="inlineStr">
        <is>
          <t>Unspecified</t>
        </is>
      </c>
      <c r="G771" s="8" t="n">
        <v>31</v>
      </c>
      <c r="H771" s="7">
        <f>IF(G771&gt;=60, "Boomer", IF(G771&gt;=45, "Gen X", IF(G771&gt;=25, "Millennial", "Gen Z")))</f>
        <v/>
      </c>
      <c r="I771" s="7" t="inlineStr">
        <is>
          <t>Checking</t>
        </is>
      </c>
      <c r="J771" s="7" t="inlineStr">
        <is>
          <t>Entertainment</t>
        </is>
      </c>
      <c r="K771" s="9" t="n">
        <v>1099.87</v>
      </c>
      <c r="L771" s="9" t="n">
        <v>36131.15</v>
      </c>
      <c r="M771" s="7" t="inlineStr">
        <is>
          <t>Branch Office</t>
        </is>
      </c>
      <c r="N771" s="7" t="inlineStr">
        <is>
          <t>N</t>
        </is>
      </c>
      <c r="O771" s="7">
        <f>TEXT(D771, "dddd")</f>
        <v/>
      </c>
      <c r="P771" s="7">
        <f>"Q"&amp;ROUNDUP(MONTH(D771)/3, 0)</f>
        <v/>
      </c>
    </row>
    <row r="772">
      <c r="A772" s="4" t="inlineStr">
        <is>
          <t>TXN100775</t>
        </is>
      </c>
      <c r="B772" s="4" t="inlineStr">
        <is>
          <t>CUST0775</t>
        </is>
      </c>
      <c r="C772" s="4" t="inlineStr">
        <is>
          <t>2026-06-01 08:12:00</t>
        </is>
      </c>
      <c r="D772" s="4">
        <f>TEXT(LEFT(C772,10),"YYYY-MM-DD")</f>
        <v/>
      </c>
      <c r="E772" s="5">
        <f>HOUR(C772)</f>
        <v/>
      </c>
      <c r="F772" s="4" t="inlineStr">
        <is>
          <t>Female</t>
        </is>
      </c>
      <c r="G772" s="5" t="n">
        <v>28</v>
      </c>
      <c r="H772" s="4">
        <f>IF(G772&gt;=60, "Boomer", IF(G772&gt;=45, "Gen X", IF(G772&gt;=25, "Millennial", "Gen Z")))</f>
        <v/>
      </c>
      <c r="I772" s="4" t="inlineStr">
        <is>
          <t>Savings</t>
        </is>
      </c>
      <c r="J772" s="4" t="inlineStr">
        <is>
          <t>Travel</t>
        </is>
      </c>
      <c r="K772" s="6" t="n">
        <v>486.62</v>
      </c>
      <c r="L772" s="6" t="n">
        <v>7256.82</v>
      </c>
      <c r="M772" s="4" t="inlineStr">
        <is>
          <t>ATM</t>
        </is>
      </c>
      <c r="N772" s="4" t="inlineStr">
        <is>
          <t>N</t>
        </is>
      </c>
      <c r="O772" s="4">
        <f>TEXT(D772, "dddd")</f>
        <v/>
      </c>
      <c r="P772" s="4">
        <f>"Q"&amp;ROUNDUP(MONTH(D772)/3, 0)</f>
        <v/>
      </c>
    </row>
    <row r="773">
      <c r="A773" s="7" t="inlineStr">
        <is>
          <t>TXN100776</t>
        </is>
      </c>
      <c r="B773" s="7" t="inlineStr">
        <is>
          <t>CUST0776</t>
        </is>
      </c>
      <c r="C773" s="7" t="inlineStr">
        <is>
          <t>2026-06-01 14:26:00</t>
        </is>
      </c>
      <c r="D773" s="7">
        <f>TEXT(LEFT(C773,10),"YYYY-MM-DD")</f>
        <v/>
      </c>
      <c r="E773" s="8">
        <f>HOUR(C773)</f>
        <v/>
      </c>
      <c r="F773" s="7" t="inlineStr">
        <is>
          <t>Male</t>
        </is>
      </c>
      <c r="G773" s="8" t="n">
        <v>68</v>
      </c>
      <c r="H773" s="7">
        <f>IF(G773&gt;=60, "Boomer", IF(G773&gt;=45, "Gen X", IF(G773&gt;=25, "Millennial", "Gen Z")))</f>
        <v/>
      </c>
      <c r="I773" s="7" t="inlineStr">
        <is>
          <t>Checking</t>
        </is>
      </c>
      <c r="J773" s="7" t="inlineStr">
        <is>
          <t>Groceries</t>
        </is>
      </c>
      <c r="K773" s="9" t="n">
        <v>7092.41</v>
      </c>
      <c r="L773" s="9" t="n">
        <v>30379.98</v>
      </c>
      <c r="M773" s="7" t="inlineStr">
        <is>
          <t>Online Banking</t>
        </is>
      </c>
      <c r="N773" s="7" t="inlineStr">
        <is>
          <t>Y</t>
        </is>
      </c>
      <c r="O773" s="7">
        <f>TEXT(D773, "dddd")</f>
        <v/>
      </c>
      <c r="P773" s="7">
        <f>"Q"&amp;ROUNDUP(MONTH(D773)/3, 0)</f>
        <v/>
      </c>
    </row>
    <row r="774">
      <c r="A774" s="4" t="inlineStr">
        <is>
          <t>TXN100777</t>
        </is>
      </c>
      <c r="B774" s="4" t="inlineStr">
        <is>
          <t>CUST0777</t>
        </is>
      </c>
      <c r="C774" s="4" t="inlineStr">
        <is>
          <t>2026-06-01 17:54:00</t>
        </is>
      </c>
      <c r="D774" s="4">
        <f>TEXT(LEFT(C774,10),"YYYY-MM-DD")</f>
        <v/>
      </c>
      <c r="E774" s="5">
        <f>HOUR(C774)</f>
        <v/>
      </c>
      <c r="F774" s="4" t="inlineStr">
        <is>
          <t>Female</t>
        </is>
      </c>
      <c r="G774" s="5" t="n">
        <v>25</v>
      </c>
      <c r="H774" s="4">
        <f>IF(G774&gt;=60, "Boomer", IF(G774&gt;=45, "Gen X", IF(G774&gt;=25, "Millennial", "Gen Z")))</f>
        <v/>
      </c>
      <c r="I774" s="4" t="inlineStr">
        <is>
          <t>Checking</t>
        </is>
      </c>
      <c r="J774" s="4" t="inlineStr">
        <is>
          <t>Travel</t>
        </is>
      </c>
      <c r="K774" s="6" t="n">
        <v>3918.82</v>
      </c>
      <c r="L774" s="6" t="n">
        <v>49785.38</v>
      </c>
      <c r="M774" s="4" t="inlineStr">
        <is>
          <t>ATM</t>
        </is>
      </c>
      <c r="N774" s="4" t="inlineStr">
        <is>
          <t>N</t>
        </is>
      </c>
      <c r="O774" s="4">
        <f>TEXT(D774, "dddd")</f>
        <v/>
      </c>
      <c r="P774" s="4">
        <f>"Q"&amp;ROUNDUP(MONTH(D774)/3, 0)</f>
        <v/>
      </c>
    </row>
    <row r="775">
      <c r="A775" s="7" t="inlineStr">
        <is>
          <t>TXN100778</t>
        </is>
      </c>
      <c r="B775" s="7" t="inlineStr">
        <is>
          <t>CUST0778</t>
        </is>
      </c>
      <c r="C775" s="7" t="inlineStr">
        <is>
          <t>2026-06-01 14:17:00</t>
        </is>
      </c>
      <c r="D775" s="7">
        <f>TEXT(LEFT(C775,10),"YYYY-MM-DD")</f>
        <v/>
      </c>
      <c r="E775" s="8">
        <f>HOUR(C775)</f>
        <v/>
      </c>
      <c r="F775" s="7" t="inlineStr">
        <is>
          <t>Male</t>
        </is>
      </c>
      <c r="G775" s="8" t="n">
        <v>66</v>
      </c>
      <c r="H775" s="7">
        <f>IF(G775&gt;=60, "Boomer", IF(G775&gt;=45, "Gen X", IF(G775&gt;=25, "Millennial", "Gen Z")))</f>
        <v/>
      </c>
      <c r="I775" s="7" t="inlineStr">
        <is>
          <t>Checking</t>
        </is>
      </c>
      <c r="J775" s="7" t="inlineStr">
        <is>
          <t>Groceries</t>
        </is>
      </c>
      <c r="K775" s="9" t="n">
        <v>1990.17</v>
      </c>
      <c r="L775" s="9" t="n">
        <v>21995.31</v>
      </c>
      <c r="M775" s="7" t="inlineStr">
        <is>
          <t>Online Banking</t>
        </is>
      </c>
      <c r="N775" s="7" t="inlineStr">
        <is>
          <t>N</t>
        </is>
      </c>
      <c r="O775" s="7">
        <f>TEXT(D775, "dddd")</f>
        <v/>
      </c>
      <c r="P775" s="7">
        <f>"Q"&amp;ROUNDUP(MONTH(D775)/3, 0)</f>
        <v/>
      </c>
    </row>
    <row r="776">
      <c r="A776" s="4" t="inlineStr">
        <is>
          <t>TXN100779</t>
        </is>
      </c>
      <c r="B776" s="4" t="inlineStr">
        <is>
          <t>CUST0779</t>
        </is>
      </c>
      <c r="C776" s="4" t="inlineStr">
        <is>
          <t>2026-06-01 18:09:00</t>
        </is>
      </c>
      <c r="D776" s="4">
        <f>TEXT(LEFT(C776,10),"YYYY-MM-DD")</f>
        <v/>
      </c>
      <c r="E776" s="5">
        <f>HOUR(C776)</f>
        <v/>
      </c>
      <c r="F776" s="4" t="inlineStr">
        <is>
          <t>Male</t>
        </is>
      </c>
      <c r="G776" s="5" t="n">
        <v>46</v>
      </c>
      <c r="H776" s="4">
        <f>IF(G776&gt;=60, "Boomer", IF(G776&gt;=45, "Gen X", IF(G776&gt;=25, "Millennial", "Gen Z")))</f>
        <v/>
      </c>
      <c r="I776" s="4" t="inlineStr">
        <is>
          <t>Savings</t>
        </is>
      </c>
      <c r="J776" s="4" t="inlineStr">
        <is>
          <t>Groceries</t>
        </is>
      </c>
      <c r="K776" s="6" t="n">
        <v>7930.28</v>
      </c>
      <c r="L776" s="6" t="n">
        <v>36807.08</v>
      </c>
      <c r="M776" s="4" t="inlineStr">
        <is>
          <t>Mobile App</t>
        </is>
      </c>
      <c r="N776" s="4" t="inlineStr">
        <is>
          <t>N</t>
        </is>
      </c>
      <c r="O776" s="4">
        <f>TEXT(D776, "dddd")</f>
        <v/>
      </c>
      <c r="P776" s="4">
        <f>"Q"&amp;ROUNDUP(MONTH(D776)/3, 0)</f>
        <v/>
      </c>
    </row>
    <row r="777">
      <c r="A777" s="7" t="inlineStr">
        <is>
          <t>TXN100780</t>
        </is>
      </c>
      <c r="B777" s="7" t="inlineStr">
        <is>
          <t>CUST0780</t>
        </is>
      </c>
      <c r="C777" s="7" t="inlineStr">
        <is>
          <t>2026-06-01 12:30:00</t>
        </is>
      </c>
      <c r="D777" s="7">
        <f>TEXT(LEFT(C777,10),"YYYY-MM-DD")</f>
        <v/>
      </c>
      <c r="E777" s="8">
        <f>HOUR(C777)</f>
        <v/>
      </c>
      <c r="F777" s="7" t="inlineStr">
        <is>
          <t>Male</t>
        </is>
      </c>
      <c r="G777" s="8" t="n">
        <v>48</v>
      </c>
      <c r="H777" s="7">
        <f>IF(G777&gt;=60, "Boomer", IF(G777&gt;=45, "Gen X", IF(G777&gt;=25, "Millennial", "Gen Z")))</f>
        <v/>
      </c>
      <c r="I777" s="7" t="inlineStr">
        <is>
          <t>Checking</t>
        </is>
      </c>
      <c r="J777" s="7" t="inlineStr">
        <is>
          <t>Groceries</t>
        </is>
      </c>
      <c r="K777" s="9" t="n">
        <v>673.9</v>
      </c>
      <c r="L777" s="9" t="n">
        <v>37777.4</v>
      </c>
      <c r="M777" s="7" t="inlineStr">
        <is>
          <t>ATM</t>
        </is>
      </c>
      <c r="N777" s="7" t="inlineStr">
        <is>
          <t>N</t>
        </is>
      </c>
      <c r="O777" s="7">
        <f>TEXT(D777, "dddd")</f>
        <v/>
      </c>
      <c r="P777" s="7">
        <f>"Q"&amp;ROUNDUP(MONTH(D777)/3, 0)</f>
        <v/>
      </c>
    </row>
    <row r="778">
      <c r="A778" s="4" t="inlineStr">
        <is>
          <t>TXN100781</t>
        </is>
      </c>
      <c r="B778" s="4" t="inlineStr">
        <is>
          <t>CUST0781</t>
        </is>
      </c>
      <c r="C778" s="4" t="inlineStr">
        <is>
          <t>2026-06-01 06:08:00</t>
        </is>
      </c>
      <c r="D778" s="4">
        <f>TEXT(LEFT(C778,10),"YYYY-MM-DD")</f>
        <v/>
      </c>
      <c r="E778" s="5">
        <f>HOUR(C778)</f>
        <v/>
      </c>
      <c r="F778" s="4" t="inlineStr">
        <is>
          <t>Female</t>
        </is>
      </c>
      <c r="G778" s="5" t="n">
        <v>38</v>
      </c>
      <c r="H778" s="4">
        <f>IF(G778&gt;=60, "Boomer", IF(G778&gt;=45, "Gen X", IF(G778&gt;=25, "Millennial", "Gen Z")))</f>
        <v/>
      </c>
      <c r="I778" s="4" t="inlineStr">
        <is>
          <t>Savings</t>
        </is>
      </c>
      <c r="J778" s="4" t="inlineStr">
        <is>
          <t>Groceries</t>
        </is>
      </c>
      <c r="K778" s="6" t="n">
        <v>137.28</v>
      </c>
      <c r="L778" s="6" t="n">
        <v>33617.26</v>
      </c>
      <c r="M778" s="4" t="inlineStr">
        <is>
          <t>Online Banking</t>
        </is>
      </c>
      <c r="N778" s="4" t="inlineStr">
        <is>
          <t>N</t>
        </is>
      </c>
      <c r="O778" s="4">
        <f>TEXT(D778, "dddd")</f>
        <v/>
      </c>
      <c r="P778" s="4">
        <f>"Q"&amp;ROUNDUP(MONTH(D778)/3, 0)</f>
        <v/>
      </c>
    </row>
    <row r="779">
      <c r="A779" s="7" t="inlineStr">
        <is>
          <t>TXN100782</t>
        </is>
      </c>
      <c r="B779" s="7" t="inlineStr">
        <is>
          <t>CUST0782</t>
        </is>
      </c>
      <c r="C779" s="7" t="inlineStr">
        <is>
          <t>2026-06-01 22:29:00</t>
        </is>
      </c>
      <c r="D779" s="7">
        <f>TEXT(LEFT(C779,10),"YYYY-MM-DD")</f>
        <v/>
      </c>
      <c r="E779" s="8">
        <f>HOUR(C779)</f>
        <v/>
      </c>
      <c r="F779" s="7" t="inlineStr">
        <is>
          <t>Male</t>
        </is>
      </c>
      <c r="G779" s="8" t="n">
        <v>49</v>
      </c>
      <c r="H779" s="7">
        <f>IF(G779&gt;=60, "Boomer", IF(G779&gt;=45, "Gen X", IF(G779&gt;=25, "Millennial", "Gen Z")))</f>
        <v/>
      </c>
      <c r="I779" s="7" t="inlineStr">
        <is>
          <t>Checking</t>
        </is>
      </c>
      <c r="J779" s="7" t="inlineStr">
        <is>
          <t>Groceries</t>
        </is>
      </c>
      <c r="K779" s="9" t="n">
        <v>6994.85</v>
      </c>
      <c r="L779" s="9" t="n">
        <v>20565.34</v>
      </c>
      <c r="M779" s="7" t="inlineStr">
        <is>
          <t>Branch Office</t>
        </is>
      </c>
      <c r="N779" s="7" t="inlineStr">
        <is>
          <t>N</t>
        </is>
      </c>
      <c r="O779" s="7">
        <f>TEXT(D779, "dddd")</f>
        <v/>
      </c>
      <c r="P779" s="7">
        <f>"Q"&amp;ROUNDUP(MONTH(D779)/3, 0)</f>
        <v/>
      </c>
    </row>
    <row r="780">
      <c r="A780" s="4" t="inlineStr">
        <is>
          <t>TXN100783</t>
        </is>
      </c>
      <c r="B780" s="4" t="inlineStr">
        <is>
          <t>CUST0783</t>
        </is>
      </c>
      <c r="C780" s="4" t="inlineStr">
        <is>
          <t>2026-06-01 20:29:00</t>
        </is>
      </c>
      <c r="D780" s="4">
        <f>TEXT(LEFT(C780,10),"YYYY-MM-DD")</f>
        <v/>
      </c>
      <c r="E780" s="5">
        <f>HOUR(C780)</f>
        <v/>
      </c>
      <c r="F780" s="4" t="inlineStr">
        <is>
          <t>Male</t>
        </is>
      </c>
      <c r="G780" s="5" t="n">
        <v>75</v>
      </c>
      <c r="H780" s="4">
        <f>IF(G780&gt;=60, "Boomer", IF(G780&gt;=45, "Gen X", IF(G780&gt;=25, "Millennial", "Gen Z")))</f>
        <v/>
      </c>
      <c r="I780" s="4" t="inlineStr">
        <is>
          <t>Investment</t>
        </is>
      </c>
      <c r="J780" s="4" t="inlineStr">
        <is>
          <t>Groceries</t>
        </is>
      </c>
      <c r="K780" s="6" t="n">
        <v>3085.19</v>
      </c>
      <c r="L780" s="6" t="n">
        <v>34692.16</v>
      </c>
      <c r="M780" s="4" t="inlineStr">
        <is>
          <t>Mobile App</t>
        </is>
      </c>
      <c r="N780" s="4" t="inlineStr">
        <is>
          <t>N</t>
        </is>
      </c>
      <c r="O780" s="4">
        <f>TEXT(D780, "dddd")</f>
        <v/>
      </c>
      <c r="P780" s="4">
        <f>"Q"&amp;ROUNDUP(MONTH(D780)/3, 0)</f>
        <v/>
      </c>
    </row>
    <row r="781">
      <c r="A781" s="7" t="inlineStr">
        <is>
          <t>TXN100784</t>
        </is>
      </c>
      <c r="B781" s="7" t="inlineStr">
        <is>
          <t>CUST0784</t>
        </is>
      </c>
      <c r="C781" s="7" t="inlineStr">
        <is>
          <t>2026-06-01 09:27:00</t>
        </is>
      </c>
      <c r="D781" s="7">
        <f>TEXT(LEFT(C781,10),"YYYY-MM-DD")</f>
        <v/>
      </c>
      <c r="E781" s="8">
        <f>HOUR(C781)</f>
        <v/>
      </c>
      <c r="F781" s="7" t="inlineStr">
        <is>
          <t>Female</t>
        </is>
      </c>
      <c r="G781" s="8" t="n">
        <v>64</v>
      </c>
      <c r="H781" s="7">
        <f>IF(G781&gt;=60, "Boomer", IF(G781&gt;=45, "Gen X", IF(G781&gt;=25, "Millennial", "Gen Z")))</f>
        <v/>
      </c>
      <c r="I781" s="7" t="inlineStr">
        <is>
          <t>Investment</t>
        </is>
      </c>
      <c r="J781" s="7" t="inlineStr">
        <is>
          <t>Travel</t>
        </is>
      </c>
      <c r="K781" s="9" t="n">
        <v>4606.08</v>
      </c>
      <c r="L781" s="9" t="n">
        <v>10753.75</v>
      </c>
      <c r="M781" s="7" t="inlineStr">
        <is>
          <t>Mobile App</t>
        </is>
      </c>
      <c r="N781" s="7" t="inlineStr">
        <is>
          <t>N</t>
        </is>
      </c>
      <c r="O781" s="7">
        <f>TEXT(D781, "dddd")</f>
        <v/>
      </c>
      <c r="P781" s="7">
        <f>"Q"&amp;ROUNDUP(MONTH(D781)/3, 0)</f>
        <v/>
      </c>
    </row>
    <row r="782">
      <c r="A782" s="4" t="inlineStr">
        <is>
          <t>TXN100785</t>
        </is>
      </c>
      <c r="B782" s="4" t="inlineStr">
        <is>
          <t>CUST0785</t>
        </is>
      </c>
      <c r="C782" s="4" t="inlineStr">
        <is>
          <t>2026-06-01 19:56:00</t>
        </is>
      </c>
      <c r="D782" s="4">
        <f>TEXT(LEFT(C782,10),"YYYY-MM-DD")</f>
        <v/>
      </c>
      <c r="E782" s="5">
        <f>HOUR(C782)</f>
        <v/>
      </c>
      <c r="F782" s="4" t="inlineStr">
        <is>
          <t>Female</t>
        </is>
      </c>
      <c r="G782" s="5" t="n">
        <v>67</v>
      </c>
      <c r="H782" s="4">
        <f>IF(G782&gt;=60, "Boomer", IF(G782&gt;=45, "Gen X", IF(G782&gt;=25, "Millennial", "Gen Z")))</f>
        <v/>
      </c>
      <c r="I782" s="4" t="inlineStr">
        <is>
          <t>Savings</t>
        </is>
      </c>
      <c r="J782" s="4" t="inlineStr">
        <is>
          <t>Travel</t>
        </is>
      </c>
      <c r="K782" s="6" t="n">
        <v>7563.12</v>
      </c>
      <c r="L782" s="6" t="n">
        <v>33895.32</v>
      </c>
      <c r="M782" s="4" t="inlineStr">
        <is>
          <t>Mobile App</t>
        </is>
      </c>
      <c r="N782" s="4" t="inlineStr">
        <is>
          <t>N</t>
        </is>
      </c>
      <c r="O782" s="4">
        <f>TEXT(D782, "dddd")</f>
        <v/>
      </c>
      <c r="P782" s="4">
        <f>"Q"&amp;ROUNDUP(MONTH(D782)/3, 0)</f>
        <v/>
      </c>
    </row>
    <row r="783">
      <c r="A783" s="7" t="inlineStr">
        <is>
          <t>TXN100786</t>
        </is>
      </c>
      <c r="B783" s="7" t="inlineStr">
        <is>
          <t>CUST0786</t>
        </is>
      </c>
      <c r="C783" s="7" t="inlineStr">
        <is>
          <t>2026-06-01 11:29:00</t>
        </is>
      </c>
      <c r="D783" s="7">
        <f>TEXT(LEFT(C783,10),"YYYY-MM-DD")</f>
        <v/>
      </c>
      <c r="E783" s="8">
        <f>HOUR(C783)</f>
        <v/>
      </c>
      <c r="F783" s="7" t="inlineStr">
        <is>
          <t>Male</t>
        </is>
      </c>
      <c r="G783" s="8" t="n">
        <v>43</v>
      </c>
      <c r="H783" s="7">
        <f>IF(G783&gt;=60, "Boomer", IF(G783&gt;=45, "Gen X", IF(G783&gt;=25, "Millennial", "Gen Z")))</f>
        <v/>
      </c>
      <c r="I783" s="7" t="inlineStr">
        <is>
          <t>Checking</t>
        </is>
      </c>
      <c r="J783" s="7" t="inlineStr">
        <is>
          <t>Groceries</t>
        </is>
      </c>
      <c r="K783" s="9" t="n">
        <v>5188.9</v>
      </c>
      <c r="L783" s="9" t="n">
        <v>35391.25</v>
      </c>
      <c r="M783" s="7" t="inlineStr">
        <is>
          <t>Online Banking</t>
        </is>
      </c>
      <c r="N783" s="7" t="inlineStr">
        <is>
          <t>N</t>
        </is>
      </c>
      <c r="O783" s="7">
        <f>TEXT(D783, "dddd")</f>
        <v/>
      </c>
      <c r="P783" s="7">
        <f>"Q"&amp;ROUNDUP(MONTH(D783)/3, 0)</f>
        <v/>
      </c>
    </row>
    <row r="784">
      <c r="A784" s="4" t="inlineStr">
        <is>
          <t>TXN100787</t>
        </is>
      </c>
      <c r="B784" s="4" t="inlineStr">
        <is>
          <t>CUST0787</t>
        </is>
      </c>
      <c r="C784" s="4" t="inlineStr">
        <is>
          <t>2026-06-01 04:21:00</t>
        </is>
      </c>
      <c r="D784" s="4">
        <f>TEXT(LEFT(C784,10),"YYYY-MM-DD")</f>
        <v/>
      </c>
      <c r="E784" s="5">
        <f>HOUR(C784)</f>
        <v/>
      </c>
      <c r="F784" s="4" t="inlineStr">
        <is>
          <t>Female</t>
        </is>
      </c>
      <c r="G784" s="5" t="n">
        <v>54</v>
      </c>
      <c r="H784" s="4">
        <f>IF(G784&gt;=60, "Boomer", IF(G784&gt;=45, "Gen X", IF(G784&gt;=25, "Millennial", "Gen Z")))</f>
        <v/>
      </c>
      <c r="I784" s="4" t="inlineStr">
        <is>
          <t>Savings</t>
        </is>
      </c>
      <c r="J784" s="4" t="inlineStr">
        <is>
          <t>Utilities</t>
        </is>
      </c>
      <c r="K784" s="6" t="n">
        <v>5901.67</v>
      </c>
      <c r="L784" s="6" t="n">
        <v>37737.72</v>
      </c>
      <c r="M784" s="4" t="inlineStr">
        <is>
          <t>Online Banking</t>
        </is>
      </c>
      <c r="N784" s="4" t="inlineStr">
        <is>
          <t>N</t>
        </is>
      </c>
      <c r="O784" s="4">
        <f>TEXT(D784, "dddd")</f>
        <v/>
      </c>
      <c r="P784" s="4">
        <f>"Q"&amp;ROUNDUP(MONTH(D784)/3, 0)</f>
        <v/>
      </c>
    </row>
    <row r="785">
      <c r="A785" s="7" t="inlineStr">
        <is>
          <t>TXN100788</t>
        </is>
      </c>
      <c r="B785" s="7" t="inlineStr">
        <is>
          <t>CUST0788</t>
        </is>
      </c>
      <c r="C785" s="7" t="inlineStr">
        <is>
          <t>2026-06-01 23:48:00</t>
        </is>
      </c>
      <c r="D785" s="7">
        <f>TEXT(LEFT(C785,10),"YYYY-MM-DD")</f>
        <v/>
      </c>
      <c r="E785" s="8">
        <f>HOUR(C785)</f>
        <v/>
      </c>
      <c r="F785" s="7" t="inlineStr">
        <is>
          <t>Female</t>
        </is>
      </c>
      <c r="G785" s="8" t="n">
        <v>40</v>
      </c>
      <c r="H785" s="7">
        <f>IF(G785&gt;=60, "Boomer", IF(G785&gt;=45, "Gen X", IF(G785&gt;=25, "Millennial", "Gen Z")))</f>
        <v/>
      </c>
      <c r="I785" s="7" t="inlineStr">
        <is>
          <t>Checking</t>
        </is>
      </c>
      <c r="J785" s="7" t="inlineStr">
        <is>
          <t>Entertainment</t>
        </is>
      </c>
      <c r="K785" s="9" t="n">
        <v>4033.49</v>
      </c>
      <c r="L785" s="9" t="n">
        <v>21434.99</v>
      </c>
      <c r="M785" s="7" t="inlineStr">
        <is>
          <t>Mobile App</t>
        </is>
      </c>
      <c r="N785" s="7" t="inlineStr">
        <is>
          <t>N</t>
        </is>
      </c>
      <c r="O785" s="7">
        <f>TEXT(D785, "dddd")</f>
        <v/>
      </c>
      <c r="P785" s="7">
        <f>"Q"&amp;ROUNDUP(MONTH(D785)/3, 0)</f>
        <v/>
      </c>
    </row>
    <row r="786">
      <c r="A786" s="4" t="inlineStr">
        <is>
          <t>TXN100789</t>
        </is>
      </c>
      <c r="B786" s="4" t="inlineStr">
        <is>
          <t>CUST0789</t>
        </is>
      </c>
      <c r="C786" s="4" t="inlineStr">
        <is>
          <t>2026-06-01 02:23:00</t>
        </is>
      </c>
      <c r="D786" s="4">
        <f>TEXT(LEFT(C786,10),"YYYY-MM-DD")</f>
        <v/>
      </c>
      <c r="E786" s="5">
        <f>HOUR(C786)</f>
        <v/>
      </c>
      <c r="F786" s="4" t="inlineStr">
        <is>
          <t>Female</t>
        </is>
      </c>
      <c r="G786" s="5" t="n">
        <v>48</v>
      </c>
      <c r="H786" s="4">
        <f>IF(G786&gt;=60, "Boomer", IF(G786&gt;=45, "Gen X", IF(G786&gt;=25, "Millennial", "Gen Z")))</f>
        <v/>
      </c>
      <c r="I786" s="4" t="inlineStr">
        <is>
          <t>Checking</t>
        </is>
      </c>
      <c r="J786" s="4" t="inlineStr">
        <is>
          <t>Travel</t>
        </is>
      </c>
      <c r="K786" s="6" t="n">
        <v>4218.19</v>
      </c>
      <c r="L786" s="6" t="n">
        <v>6574.12</v>
      </c>
      <c r="M786" s="4" t="inlineStr">
        <is>
          <t>Branch Office</t>
        </is>
      </c>
      <c r="N786" s="4" t="inlineStr">
        <is>
          <t>N</t>
        </is>
      </c>
      <c r="O786" s="4">
        <f>TEXT(D786, "dddd")</f>
        <v/>
      </c>
      <c r="P786" s="4">
        <f>"Q"&amp;ROUNDUP(MONTH(D786)/3, 0)</f>
        <v/>
      </c>
    </row>
    <row r="787">
      <c r="A787" s="7" t="inlineStr">
        <is>
          <t>TXN100790</t>
        </is>
      </c>
      <c r="B787" s="7" t="inlineStr">
        <is>
          <t>CUST0790</t>
        </is>
      </c>
      <c r="C787" s="7" t="inlineStr">
        <is>
          <t>2026-06-01 14:39:00</t>
        </is>
      </c>
      <c r="D787" s="7">
        <f>TEXT(LEFT(C787,10),"YYYY-MM-DD")</f>
        <v/>
      </c>
      <c r="E787" s="8">
        <f>HOUR(C787)</f>
        <v/>
      </c>
      <c r="F787" s="7" t="inlineStr">
        <is>
          <t>Female</t>
        </is>
      </c>
      <c r="G787" s="8" t="n">
        <v>71</v>
      </c>
      <c r="H787" s="7">
        <f>IF(G787&gt;=60, "Boomer", IF(G787&gt;=45, "Gen X", IF(G787&gt;=25, "Millennial", "Gen Z")))</f>
        <v/>
      </c>
      <c r="I787" s="7" t="inlineStr">
        <is>
          <t>Investment</t>
        </is>
      </c>
      <c r="J787" s="7" t="inlineStr">
        <is>
          <t>Groceries</t>
        </is>
      </c>
      <c r="K787" s="9" t="n">
        <v>1514.95</v>
      </c>
      <c r="L787" s="9" t="n">
        <v>44256.96</v>
      </c>
      <c r="M787" s="7" t="inlineStr">
        <is>
          <t>Mobile App</t>
        </is>
      </c>
      <c r="N787" s="7" t="inlineStr">
        <is>
          <t>N</t>
        </is>
      </c>
      <c r="O787" s="7">
        <f>TEXT(D787, "dddd")</f>
        <v/>
      </c>
      <c r="P787" s="7">
        <f>"Q"&amp;ROUNDUP(MONTH(D787)/3, 0)</f>
        <v/>
      </c>
    </row>
    <row r="788">
      <c r="A788" s="4" t="inlineStr">
        <is>
          <t>TXN100791</t>
        </is>
      </c>
      <c r="B788" s="4" t="inlineStr">
        <is>
          <t>CUST0791</t>
        </is>
      </c>
      <c r="C788" s="4" t="inlineStr">
        <is>
          <t>2026-06-01 02:25:00</t>
        </is>
      </c>
      <c r="D788" s="4">
        <f>TEXT(LEFT(C788,10),"YYYY-MM-DD")</f>
        <v/>
      </c>
      <c r="E788" s="5">
        <f>HOUR(C788)</f>
        <v/>
      </c>
      <c r="F788" s="4" t="inlineStr">
        <is>
          <t>Male</t>
        </is>
      </c>
      <c r="G788" s="5" t="n">
        <v>38</v>
      </c>
      <c r="H788" s="4">
        <f>IF(G788&gt;=60, "Boomer", IF(G788&gt;=45, "Gen X", IF(G788&gt;=25, "Millennial", "Gen Z")))</f>
        <v/>
      </c>
      <c r="I788" s="4" t="inlineStr">
        <is>
          <t>Savings</t>
        </is>
      </c>
      <c r="J788" s="4" t="inlineStr">
        <is>
          <t>Groceries</t>
        </is>
      </c>
      <c r="K788" s="6" t="n">
        <v>1326.48</v>
      </c>
      <c r="L788" s="6" t="n">
        <v>6045.22</v>
      </c>
      <c r="M788" s="4" t="inlineStr">
        <is>
          <t>Online Banking</t>
        </is>
      </c>
      <c r="N788" s="4" t="inlineStr">
        <is>
          <t>N</t>
        </is>
      </c>
      <c r="O788" s="4">
        <f>TEXT(D788, "dddd")</f>
        <v/>
      </c>
      <c r="P788" s="4">
        <f>"Q"&amp;ROUNDUP(MONTH(D788)/3, 0)</f>
        <v/>
      </c>
    </row>
    <row r="789">
      <c r="A789" s="7" t="inlineStr">
        <is>
          <t>TXN100792</t>
        </is>
      </c>
      <c r="B789" s="7" t="inlineStr">
        <is>
          <t>CUST0792</t>
        </is>
      </c>
      <c r="C789" s="7" t="inlineStr">
        <is>
          <t>2026-06-01 15:09:00</t>
        </is>
      </c>
      <c r="D789" s="7">
        <f>TEXT(LEFT(C789,10),"YYYY-MM-DD")</f>
        <v/>
      </c>
      <c r="E789" s="8">
        <f>HOUR(C789)</f>
        <v/>
      </c>
      <c r="F789" s="7" t="inlineStr">
        <is>
          <t>Female</t>
        </is>
      </c>
      <c r="G789" s="8" t="n">
        <v>53</v>
      </c>
      <c r="H789" s="7">
        <f>IF(G789&gt;=60, "Boomer", IF(G789&gt;=45, "Gen X", IF(G789&gt;=25, "Millennial", "Gen Z")))</f>
        <v/>
      </c>
      <c r="I789" s="7" t="inlineStr">
        <is>
          <t>Investment</t>
        </is>
      </c>
      <c r="J789" s="7" t="inlineStr">
        <is>
          <t>Groceries</t>
        </is>
      </c>
      <c r="K789" s="9" t="n">
        <v>2352.42</v>
      </c>
      <c r="L789" s="9" t="n">
        <v>48493.94</v>
      </c>
      <c r="M789" s="7" t="inlineStr">
        <is>
          <t>Online Banking</t>
        </is>
      </c>
      <c r="N789" s="7" t="inlineStr">
        <is>
          <t>N</t>
        </is>
      </c>
      <c r="O789" s="7">
        <f>TEXT(D789, "dddd")</f>
        <v/>
      </c>
      <c r="P789" s="7">
        <f>"Q"&amp;ROUNDUP(MONTH(D789)/3, 0)</f>
        <v/>
      </c>
    </row>
    <row r="790">
      <c r="A790" s="4" t="inlineStr">
        <is>
          <t>TXN100793</t>
        </is>
      </c>
      <c r="B790" s="4" t="inlineStr">
        <is>
          <t>CUST0793</t>
        </is>
      </c>
      <c r="C790" s="4" t="inlineStr">
        <is>
          <t>2026-06-01 15:22:00</t>
        </is>
      </c>
      <c r="D790" s="4">
        <f>TEXT(LEFT(C790,10),"YYYY-MM-DD")</f>
        <v/>
      </c>
      <c r="E790" s="5">
        <f>HOUR(C790)</f>
        <v/>
      </c>
      <c r="F790" s="4" t="inlineStr">
        <is>
          <t>Unspecified</t>
        </is>
      </c>
      <c r="G790" s="5" t="n">
        <v>48</v>
      </c>
      <c r="H790" s="4">
        <f>IF(G790&gt;=60, "Boomer", IF(G790&gt;=45, "Gen X", IF(G790&gt;=25, "Millennial", "Gen Z")))</f>
        <v/>
      </c>
      <c r="I790" s="4" t="inlineStr">
        <is>
          <t>Investment</t>
        </is>
      </c>
      <c r="J790" s="4" t="inlineStr">
        <is>
          <t>Groceries</t>
        </is>
      </c>
      <c r="K790" s="6" t="n">
        <v>2339.22</v>
      </c>
      <c r="L790" s="6" t="n">
        <v>3616</v>
      </c>
      <c r="M790" s="4" t="inlineStr">
        <is>
          <t>Online Banking</t>
        </is>
      </c>
      <c r="N790" s="4" t="inlineStr">
        <is>
          <t>N</t>
        </is>
      </c>
      <c r="O790" s="4">
        <f>TEXT(D790, "dddd")</f>
        <v/>
      </c>
      <c r="P790" s="4">
        <f>"Q"&amp;ROUNDUP(MONTH(D790)/3, 0)</f>
        <v/>
      </c>
    </row>
    <row r="791">
      <c r="A791" s="7" t="inlineStr">
        <is>
          <t>TXN100794</t>
        </is>
      </c>
      <c r="B791" s="7" t="inlineStr">
        <is>
          <t>CUST0794</t>
        </is>
      </c>
      <c r="C791" s="7" t="inlineStr">
        <is>
          <t>2026-06-01 16:41:00</t>
        </is>
      </c>
      <c r="D791" s="7">
        <f>TEXT(LEFT(C791,10),"YYYY-MM-DD")</f>
        <v/>
      </c>
      <c r="E791" s="8">
        <f>HOUR(C791)</f>
        <v/>
      </c>
      <c r="F791" s="7" t="inlineStr">
        <is>
          <t>Female</t>
        </is>
      </c>
      <c r="G791" s="8" t="n">
        <v>46</v>
      </c>
      <c r="H791" s="7">
        <f>IF(G791&gt;=60, "Boomer", IF(G791&gt;=45, "Gen X", IF(G791&gt;=25, "Millennial", "Gen Z")))</f>
        <v/>
      </c>
      <c r="I791" s="7" t="inlineStr">
        <is>
          <t>Investment</t>
        </is>
      </c>
      <c r="J791" s="7" t="inlineStr">
        <is>
          <t>Entertainment</t>
        </is>
      </c>
      <c r="K791" s="9" t="n">
        <v>5249.53</v>
      </c>
      <c r="L791" s="9" t="n">
        <v>39447.81</v>
      </c>
      <c r="M791" s="7" t="inlineStr">
        <is>
          <t>ATM</t>
        </is>
      </c>
      <c r="N791" s="7" t="inlineStr">
        <is>
          <t>N</t>
        </is>
      </c>
      <c r="O791" s="7">
        <f>TEXT(D791, "dddd")</f>
        <v/>
      </c>
      <c r="P791" s="7">
        <f>"Q"&amp;ROUNDUP(MONTH(D791)/3, 0)</f>
        <v/>
      </c>
    </row>
    <row r="792">
      <c r="A792" s="4" t="inlineStr">
        <is>
          <t>TXN100795</t>
        </is>
      </c>
      <c r="B792" s="4" t="inlineStr">
        <is>
          <t>CUST0795</t>
        </is>
      </c>
      <c r="C792" s="4" t="inlineStr">
        <is>
          <t>2026-06-01 18:42:00</t>
        </is>
      </c>
      <c r="D792" s="4">
        <f>TEXT(LEFT(C792,10),"YYYY-MM-DD")</f>
        <v/>
      </c>
      <c r="E792" s="5">
        <f>HOUR(C792)</f>
        <v/>
      </c>
      <c r="F792" s="4" t="inlineStr">
        <is>
          <t>Unspecified</t>
        </is>
      </c>
      <c r="G792" s="5" t="n">
        <v>49</v>
      </c>
      <c r="H792" s="4">
        <f>IF(G792&gt;=60, "Boomer", IF(G792&gt;=45, "Gen X", IF(G792&gt;=25, "Millennial", "Gen Z")))</f>
        <v/>
      </c>
      <c r="I792" s="4" t="inlineStr">
        <is>
          <t>Checking</t>
        </is>
      </c>
      <c r="J792" s="4" t="inlineStr">
        <is>
          <t>Travel</t>
        </is>
      </c>
      <c r="K792" s="6" t="n">
        <v>1064.31</v>
      </c>
      <c r="L792" s="6" t="n">
        <v>39572.74</v>
      </c>
      <c r="M792" s="4" t="inlineStr">
        <is>
          <t>Online Banking</t>
        </is>
      </c>
      <c r="N792" s="4" t="inlineStr">
        <is>
          <t>N</t>
        </is>
      </c>
      <c r="O792" s="4">
        <f>TEXT(D792, "dddd")</f>
        <v/>
      </c>
      <c r="P792" s="4">
        <f>"Q"&amp;ROUNDUP(MONTH(D792)/3, 0)</f>
        <v/>
      </c>
    </row>
    <row r="793">
      <c r="A793" s="7" t="inlineStr">
        <is>
          <t>TXN100796</t>
        </is>
      </c>
      <c r="B793" s="7" t="inlineStr">
        <is>
          <t>CUST0796</t>
        </is>
      </c>
      <c r="C793" s="7" t="inlineStr">
        <is>
          <t>2026-06-01 08:14:00</t>
        </is>
      </c>
      <c r="D793" s="7">
        <f>TEXT(LEFT(C793,10),"YYYY-MM-DD")</f>
        <v/>
      </c>
      <c r="E793" s="8">
        <f>HOUR(C793)</f>
        <v/>
      </c>
      <c r="F793" s="7" t="inlineStr">
        <is>
          <t>Unspecified</t>
        </is>
      </c>
      <c r="G793" s="8" t="n">
        <v>43</v>
      </c>
      <c r="H793" s="7">
        <f>IF(G793&gt;=60, "Boomer", IF(G793&gt;=45, "Gen X", IF(G793&gt;=25, "Millennial", "Gen Z")))</f>
        <v/>
      </c>
      <c r="I793" s="7" t="inlineStr">
        <is>
          <t>Checking</t>
        </is>
      </c>
      <c r="J793" s="7" t="inlineStr">
        <is>
          <t>Groceries</t>
        </is>
      </c>
      <c r="K793" s="9" t="n">
        <v>1195.22</v>
      </c>
      <c r="L793" s="9" t="n">
        <v>14576.91</v>
      </c>
      <c r="M793" s="7" t="inlineStr">
        <is>
          <t>Online Banking</t>
        </is>
      </c>
      <c r="N793" s="7" t="inlineStr">
        <is>
          <t>N</t>
        </is>
      </c>
      <c r="O793" s="7">
        <f>TEXT(D793, "dddd")</f>
        <v/>
      </c>
      <c r="P793" s="7">
        <f>"Q"&amp;ROUNDUP(MONTH(D793)/3, 0)</f>
        <v/>
      </c>
    </row>
    <row r="794">
      <c r="A794" s="4" t="inlineStr">
        <is>
          <t>TXN100797</t>
        </is>
      </c>
      <c r="B794" s="4" t="inlineStr">
        <is>
          <t>CUST0797</t>
        </is>
      </c>
      <c r="C794" s="4" t="inlineStr">
        <is>
          <t>2026-06-01 19:59:00</t>
        </is>
      </c>
      <c r="D794" s="4">
        <f>TEXT(LEFT(C794,10),"YYYY-MM-DD")</f>
        <v/>
      </c>
      <c r="E794" s="5">
        <f>HOUR(C794)</f>
        <v/>
      </c>
      <c r="F794" s="4" t="inlineStr">
        <is>
          <t>Male</t>
        </is>
      </c>
      <c r="G794" s="5" t="n">
        <v>65</v>
      </c>
      <c r="H794" s="4">
        <f>IF(G794&gt;=60, "Boomer", IF(G794&gt;=45, "Gen X", IF(G794&gt;=25, "Millennial", "Gen Z")))</f>
        <v/>
      </c>
      <c r="I794" s="4" t="inlineStr">
        <is>
          <t>Investment</t>
        </is>
      </c>
      <c r="J794" s="4" t="inlineStr">
        <is>
          <t>Entertainment</t>
        </is>
      </c>
      <c r="K794" s="6" t="n">
        <v>1466.42</v>
      </c>
      <c r="L794" s="6" t="n">
        <v>9180.290000000001</v>
      </c>
      <c r="M794" s="4" t="inlineStr">
        <is>
          <t>Online Banking</t>
        </is>
      </c>
      <c r="N794" s="4" t="inlineStr">
        <is>
          <t>N</t>
        </is>
      </c>
      <c r="O794" s="4">
        <f>TEXT(D794, "dddd")</f>
        <v/>
      </c>
      <c r="P794" s="4">
        <f>"Q"&amp;ROUNDUP(MONTH(D794)/3, 0)</f>
        <v/>
      </c>
    </row>
    <row r="795">
      <c r="A795" s="7" t="inlineStr">
        <is>
          <t>TXN100798</t>
        </is>
      </c>
      <c r="B795" s="7" t="inlineStr">
        <is>
          <t>CUST0798</t>
        </is>
      </c>
      <c r="C795" s="7" t="inlineStr">
        <is>
          <t>2026-06-01 05:15:00</t>
        </is>
      </c>
      <c r="D795" s="7">
        <f>TEXT(LEFT(C795,10),"YYYY-MM-DD")</f>
        <v/>
      </c>
      <c r="E795" s="8">
        <f>HOUR(C795)</f>
        <v/>
      </c>
      <c r="F795" s="7" t="inlineStr">
        <is>
          <t>Male</t>
        </is>
      </c>
      <c r="G795" s="8" t="n">
        <v>22</v>
      </c>
      <c r="H795" s="7">
        <f>IF(G795&gt;=60, "Boomer", IF(G795&gt;=45, "Gen X", IF(G795&gt;=25, "Millennial", "Gen Z")))</f>
        <v/>
      </c>
      <c r="I795" s="7" t="inlineStr">
        <is>
          <t>Checking</t>
        </is>
      </c>
      <c r="J795" s="7" t="inlineStr">
        <is>
          <t>Travel</t>
        </is>
      </c>
      <c r="K795" s="9" t="n">
        <v>1020.52</v>
      </c>
      <c r="L795" s="9" t="n">
        <v>13390.16</v>
      </c>
      <c r="M795" s="7" t="inlineStr">
        <is>
          <t>Online Banking</t>
        </is>
      </c>
      <c r="N795" s="7" t="inlineStr">
        <is>
          <t>N</t>
        </is>
      </c>
      <c r="O795" s="7">
        <f>TEXT(D795, "dddd")</f>
        <v/>
      </c>
      <c r="P795" s="7">
        <f>"Q"&amp;ROUNDUP(MONTH(D795)/3, 0)</f>
        <v/>
      </c>
    </row>
    <row r="796">
      <c r="A796" s="4" t="inlineStr">
        <is>
          <t>TXN100799</t>
        </is>
      </c>
      <c r="B796" s="4" t="inlineStr">
        <is>
          <t>CUST0799</t>
        </is>
      </c>
      <c r="C796" s="4" t="inlineStr">
        <is>
          <t>2026-06-01 06:35:00</t>
        </is>
      </c>
      <c r="D796" s="4">
        <f>TEXT(LEFT(C796,10),"YYYY-MM-DD")</f>
        <v/>
      </c>
      <c r="E796" s="5">
        <f>HOUR(C796)</f>
        <v/>
      </c>
      <c r="F796" s="4" t="inlineStr">
        <is>
          <t>Male</t>
        </is>
      </c>
      <c r="G796" s="5" t="n">
        <v>62</v>
      </c>
      <c r="H796" s="4">
        <f>IF(G796&gt;=60, "Boomer", IF(G796&gt;=45, "Gen X", IF(G796&gt;=25, "Millennial", "Gen Z")))</f>
        <v/>
      </c>
      <c r="I796" s="4" t="inlineStr">
        <is>
          <t>Checking</t>
        </is>
      </c>
      <c r="J796" s="4" t="inlineStr">
        <is>
          <t>Entertainment</t>
        </is>
      </c>
      <c r="K796" s="6" t="n">
        <v>1192.07</v>
      </c>
      <c r="L796" s="6" t="n">
        <v>22697.24</v>
      </c>
      <c r="M796" s="4" t="inlineStr">
        <is>
          <t>Online Banking</t>
        </is>
      </c>
      <c r="N796" s="4" t="inlineStr">
        <is>
          <t>N</t>
        </is>
      </c>
      <c r="O796" s="4">
        <f>TEXT(D796, "dddd")</f>
        <v/>
      </c>
      <c r="P796" s="4">
        <f>"Q"&amp;ROUNDUP(MONTH(D796)/3, 0)</f>
        <v/>
      </c>
    </row>
    <row r="797">
      <c r="A797" s="7" t="inlineStr">
        <is>
          <t>TXN100800</t>
        </is>
      </c>
      <c r="B797" s="7" t="inlineStr">
        <is>
          <t>CUST0800</t>
        </is>
      </c>
      <c r="C797" s="7" t="inlineStr">
        <is>
          <t>2026-06-01 17:19:00</t>
        </is>
      </c>
      <c r="D797" s="7">
        <f>TEXT(LEFT(C797,10),"YYYY-MM-DD")</f>
        <v/>
      </c>
      <c r="E797" s="8">
        <f>HOUR(C797)</f>
        <v/>
      </c>
      <c r="F797" s="7" t="inlineStr">
        <is>
          <t>Male</t>
        </is>
      </c>
      <c r="G797" s="8" t="n">
        <v>21</v>
      </c>
      <c r="H797" s="7">
        <f>IF(G797&gt;=60, "Boomer", IF(G797&gt;=45, "Gen X", IF(G797&gt;=25, "Millennial", "Gen Z")))</f>
        <v/>
      </c>
      <c r="I797" s="7" t="inlineStr">
        <is>
          <t>Checking</t>
        </is>
      </c>
      <c r="J797" s="7" t="inlineStr">
        <is>
          <t>Utilities</t>
        </is>
      </c>
      <c r="K797" s="9" t="n">
        <v>6150.46</v>
      </c>
      <c r="L797" s="9" t="n">
        <v>47415.56</v>
      </c>
      <c r="M797" s="7" t="inlineStr">
        <is>
          <t>Branch Office</t>
        </is>
      </c>
      <c r="N797" s="7" t="inlineStr">
        <is>
          <t>N</t>
        </is>
      </c>
      <c r="O797" s="7">
        <f>TEXT(D797, "dddd")</f>
        <v/>
      </c>
      <c r="P797" s="7">
        <f>"Q"&amp;ROUNDUP(MONTH(D797)/3, 0)</f>
        <v/>
      </c>
    </row>
    <row r="798">
      <c r="A798" s="4" t="inlineStr">
        <is>
          <t>TXN100801</t>
        </is>
      </c>
      <c r="B798" s="4" t="inlineStr">
        <is>
          <t>CUST0801</t>
        </is>
      </c>
      <c r="C798" s="4" t="inlineStr">
        <is>
          <t>2026-06-01 04:00:00</t>
        </is>
      </c>
      <c r="D798" s="4">
        <f>TEXT(LEFT(C798,10),"YYYY-MM-DD")</f>
        <v/>
      </c>
      <c r="E798" s="5">
        <f>HOUR(C798)</f>
        <v/>
      </c>
      <c r="F798" s="4" t="inlineStr">
        <is>
          <t>Female</t>
        </is>
      </c>
      <c r="G798" s="5" t="n">
        <v>61</v>
      </c>
      <c r="H798" s="4">
        <f>IF(G798&gt;=60, "Boomer", IF(G798&gt;=45, "Gen X", IF(G798&gt;=25, "Millennial", "Gen Z")))</f>
        <v/>
      </c>
      <c r="I798" s="4" t="inlineStr">
        <is>
          <t>Investment</t>
        </is>
      </c>
      <c r="J798" s="4" t="inlineStr">
        <is>
          <t>Entertainment</t>
        </is>
      </c>
      <c r="K798" s="6" t="n">
        <v>3796.55</v>
      </c>
      <c r="L798" s="6" t="n">
        <v>14846.45</v>
      </c>
      <c r="M798" s="4" t="inlineStr">
        <is>
          <t>Online Banking</t>
        </is>
      </c>
      <c r="N798" s="4" t="inlineStr">
        <is>
          <t>N</t>
        </is>
      </c>
      <c r="O798" s="4">
        <f>TEXT(D798, "dddd")</f>
        <v/>
      </c>
      <c r="P798" s="4">
        <f>"Q"&amp;ROUNDUP(MONTH(D798)/3, 0)</f>
        <v/>
      </c>
    </row>
    <row r="799">
      <c r="A799" s="7" t="inlineStr">
        <is>
          <t>TXN100802</t>
        </is>
      </c>
      <c r="B799" s="7" t="inlineStr">
        <is>
          <t>CUST0802</t>
        </is>
      </c>
      <c r="C799" s="7" t="inlineStr">
        <is>
          <t>2026-06-01 18:46:00</t>
        </is>
      </c>
      <c r="D799" s="7">
        <f>TEXT(LEFT(C799,10),"YYYY-MM-DD")</f>
        <v/>
      </c>
      <c r="E799" s="8">
        <f>HOUR(C799)</f>
        <v/>
      </c>
      <c r="F799" s="7" t="inlineStr">
        <is>
          <t>Unspecified</t>
        </is>
      </c>
      <c r="G799" s="8" t="n">
        <v>41</v>
      </c>
      <c r="H799" s="7">
        <f>IF(G799&gt;=60, "Boomer", IF(G799&gt;=45, "Gen X", IF(G799&gt;=25, "Millennial", "Gen Z")))</f>
        <v/>
      </c>
      <c r="I799" s="7" t="inlineStr">
        <is>
          <t>Investment</t>
        </is>
      </c>
      <c r="J799" s="7" t="inlineStr">
        <is>
          <t>Groceries</t>
        </is>
      </c>
      <c r="K799" s="9" t="n">
        <v>5855.81</v>
      </c>
      <c r="L799" s="9" t="n">
        <v>45058.64</v>
      </c>
      <c r="M799" s="7" t="inlineStr">
        <is>
          <t>Online Banking</t>
        </is>
      </c>
      <c r="N799" s="7" t="inlineStr">
        <is>
          <t>N</t>
        </is>
      </c>
      <c r="O799" s="7">
        <f>TEXT(D799, "dddd")</f>
        <v/>
      </c>
      <c r="P799" s="7">
        <f>"Q"&amp;ROUNDUP(MONTH(D799)/3, 0)</f>
        <v/>
      </c>
    </row>
    <row r="800">
      <c r="A800" s="4" t="inlineStr">
        <is>
          <t>TXN100803</t>
        </is>
      </c>
      <c r="B800" s="4" t="inlineStr">
        <is>
          <t>CUST0803</t>
        </is>
      </c>
      <c r="C800" s="4" t="inlineStr">
        <is>
          <t>2026-06-01 21:35:00</t>
        </is>
      </c>
      <c r="D800" s="4">
        <f>TEXT(LEFT(C800,10),"YYYY-MM-DD")</f>
        <v/>
      </c>
      <c r="E800" s="5">
        <f>HOUR(C800)</f>
        <v/>
      </c>
      <c r="F800" s="4" t="inlineStr">
        <is>
          <t>Male</t>
        </is>
      </c>
      <c r="G800" s="5" t="n">
        <v>39</v>
      </c>
      <c r="H800" s="4">
        <f>IF(G800&gt;=60, "Boomer", IF(G800&gt;=45, "Gen X", IF(G800&gt;=25, "Millennial", "Gen Z")))</f>
        <v/>
      </c>
      <c r="I800" s="4" t="inlineStr">
        <is>
          <t>Savings</t>
        </is>
      </c>
      <c r="J800" s="4" t="inlineStr">
        <is>
          <t>Utilities</t>
        </is>
      </c>
      <c r="K800" s="6" t="n">
        <v>4944</v>
      </c>
      <c r="L800" s="6" t="n">
        <v>11408.06</v>
      </c>
      <c r="M800" s="4" t="inlineStr">
        <is>
          <t>Branch Office</t>
        </is>
      </c>
      <c r="N800" s="4" t="inlineStr">
        <is>
          <t>N</t>
        </is>
      </c>
      <c r="O800" s="4">
        <f>TEXT(D800, "dddd")</f>
        <v/>
      </c>
      <c r="P800" s="4">
        <f>"Q"&amp;ROUNDUP(MONTH(D800)/3, 0)</f>
        <v/>
      </c>
    </row>
    <row r="801">
      <c r="A801" s="7" t="inlineStr">
        <is>
          <t>TXN100804</t>
        </is>
      </c>
      <c r="B801" s="7" t="inlineStr">
        <is>
          <t>CUST0804</t>
        </is>
      </c>
      <c r="C801" s="7" t="inlineStr">
        <is>
          <t>2026-06-01 02:20:00</t>
        </is>
      </c>
      <c r="D801" s="7">
        <f>TEXT(LEFT(C801,10),"YYYY-MM-DD")</f>
        <v/>
      </c>
      <c r="E801" s="8">
        <f>HOUR(C801)</f>
        <v/>
      </c>
      <c r="F801" s="7" t="inlineStr">
        <is>
          <t>Male</t>
        </is>
      </c>
      <c r="G801" s="8" t="n">
        <v>58</v>
      </c>
      <c r="H801" s="7">
        <f>IF(G801&gt;=60, "Boomer", IF(G801&gt;=45, "Gen X", IF(G801&gt;=25, "Millennial", "Gen Z")))</f>
        <v/>
      </c>
      <c r="I801" s="7" t="inlineStr">
        <is>
          <t>Investment</t>
        </is>
      </c>
      <c r="J801" s="7" t="inlineStr">
        <is>
          <t>Groceries</t>
        </is>
      </c>
      <c r="K801" s="9" t="n">
        <v>4671.62</v>
      </c>
      <c r="L801" s="9" t="n">
        <v>11496.12</v>
      </c>
      <c r="M801" s="7" t="inlineStr">
        <is>
          <t>Branch Office</t>
        </is>
      </c>
      <c r="N801" s="7" t="inlineStr">
        <is>
          <t>N</t>
        </is>
      </c>
      <c r="O801" s="7">
        <f>TEXT(D801, "dddd")</f>
        <v/>
      </c>
      <c r="P801" s="7">
        <f>"Q"&amp;ROUNDUP(MONTH(D801)/3, 0)</f>
        <v/>
      </c>
    </row>
    <row r="802">
      <c r="A802" s="4" t="inlineStr">
        <is>
          <t>TXN100805</t>
        </is>
      </c>
      <c r="B802" s="4" t="inlineStr">
        <is>
          <t>CUST0805</t>
        </is>
      </c>
      <c r="C802" s="4" t="inlineStr">
        <is>
          <t>2026-06-01 06:01:00</t>
        </is>
      </c>
      <c r="D802" s="4">
        <f>TEXT(LEFT(C802,10),"YYYY-MM-DD")</f>
        <v/>
      </c>
      <c r="E802" s="5">
        <f>HOUR(C802)</f>
        <v/>
      </c>
      <c r="F802" s="4" t="inlineStr">
        <is>
          <t>Male</t>
        </is>
      </c>
      <c r="G802" s="5" t="n">
        <v>54</v>
      </c>
      <c r="H802" s="4">
        <f>IF(G802&gt;=60, "Boomer", IF(G802&gt;=45, "Gen X", IF(G802&gt;=25, "Millennial", "Gen Z")))</f>
        <v/>
      </c>
      <c r="I802" s="4" t="inlineStr">
        <is>
          <t>Checking</t>
        </is>
      </c>
      <c r="J802" s="4" t="inlineStr">
        <is>
          <t>Groceries</t>
        </is>
      </c>
      <c r="K802" s="6" t="n">
        <v>7806.96</v>
      </c>
      <c r="L802" s="6" t="n">
        <v>20023.97</v>
      </c>
      <c r="M802" s="4" t="inlineStr">
        <is>
          <t>ATM</t>
        </is>
      </c>
      <c r="N802" s="4" t="inlineStr">
        <is>
          <t>N</t>
        </is>
      </c>
      <c r="O802" s="4">
        <f>TEXT(D802, "dddd")</f>
        <v/>
      </c>
      <c r="P802" s="4">
        <f>"Q"&amp;ROUNDUP(MONTH(D802)/3, 0)</f>
        <v/>
      </c>
    </row>
    <row r="803">
      <c r="A803" s="7" t="inlineStr">
        <is>
          <t>TXN100806</t>
        </is>
      </c>
      <c r="B803" s="7" t="inlineStr">
        <is>
          <t>CUST0806</t>
        </is>
      </c>
      <c r="C803" s="7" t="inlineStr">
        <is>
          <t>2026-06-01 19:32:00</t>
        </is>
      </c>
      <c r="D803" s="7">
        <f>TEXT(LEFT(C803,10),"YYYY-MM-DD")</f>
        <v/>
      </c>
      <c r="E803" s="8">
        <f>HOUR(C803)</f>
        <v/>
      </c>
      <c r="F803" s="7" t="inlineStr">
        <is>
          <t>Male</t>
        </is>
      </c>
      <c r="G803" s="8" t="n">
        <v>62</v>
      </c>
      <c r="H803" s="7">
        <f>IF(G803&gt;=60, "Boomer", IF(G803&gt;=45, "Gen X", IF(G803&gt;=25, "Millennial", "Gen Z")))</f>
        <v/>
      </c>
      <c r="I803" s="7" t="inlineStr">
        <is>
          <t>Checking</t>
        </is>
      </c>
      <c r="J803" s="7" t="inlineStr">
        <is>
          <t>Utilities</t>
        </is>
      </c>
      <c r="K803" s="9" t="n">
        <v>1192.09</v>
      </c>
      <c r="L803" s="9" t="n">
        <v>42763.3</v>
      </c>
      <c r="M803" s="7" t="inlineStr">
        <is>
          <t>Branch Office</t>
        </is>
      </c>
      <c r="N803" s="7" t="inlineStr">
        <is>
          <t>N</t>
        </is>
      </c>
      <c r="O803" s="7">
        <f>TEXT(D803, "dddd")</f>
        <v/>
      </c>
      <c r="P803" s="7">
        <f>"Q"&amp;ROUNDUP(MONTH(D803)/3, 0)</f>
        <v/>
      </c>
    </row>
    <row r="804">
      <c r="A804" s="4" t="inlineStr">
        <is>
          <t>TXN100807</t>
        </is>
      </c>
      <c r="B804" s="4" t="inlineStr">
        <is>
          <t>CUST0807</t>
        </is>
      </c>
      <c r="C804" s="4" t="inlineStr">
        <is>
          <t>2026-06-01 12:23:00</t>
        </is>
      </c>
      <c r="D804" s="4">
        <f>TEXT(LEFT(C804,10),"YYYY-MM-DD")</f>
        <v/>
      </c>
      <c r="E804" s="5">
        <f>HOUR(C804)</f>
        <v/>
      </c>
      <c r="F804" s="4" t="inlineStr">
        <is>
          <t>Male</t>
        </is>
      </c>
      <c r="G804" s="5" t="n">
        <v>38</v>
      </c>
      <c r="H804" s="4">
        <f>IF(G804&gt;=60, "Boomer", IF(G804&gt;=45, "Gen X", IF(G804&gt;=25, "Millennial", "Gen Z")))</f>
        <v/>
      </c>
      <c r="I804" s="4" t="inlineStr">
        <is>
          <t>Checking</t>
        </is>
      </c>
      <c r="J804" s="4" t="inlineStr">
        <is>
          <t>Entertainment</t>
        </is>
      </c>
      <c r="K804" s="6" t="n">
        <v>2471.6</v>
      </c>
      <c r="L804" s="6" t="n">
        <v>22556.01</v>
      </c>
      <c r="M804" s="4" t="inlineStr">
        <is>
          <t>Mobile App</t>
        </is>
      </c>
      <c r="N804" s="4" t="inlineStr">
        <is>
          <t>N</t>
        </is>
      </c>
      <c r="O804" s="4">
        <f>TEXT(D804, "dddd")</f>
        <v/>
      </c>
      <c r="P804" s="4">
        <f>"Q"&amp;ROUNDUP(MONTH(D804)/3, 0)</f>
        <v/>
      </c>
    </row>
    <row r="805">
      <c r="A805" s="7" t="inlineStr">
        <is>
          <t>TXN100808</t>
        </is>
      </c>
      <c r="B805" s="7" t="inlineStr">
        <is>
          <t>CUST0808</t>
        </is>
      </c>
      <c r="C805" s="7" t="inlineStr">
        <is>
          <t>2026-06-01 06:46:00</t>
        </is>
      </c>
      <c r="D805" s="7">
        <f>TEXT(LEFT(C805,10),"YYYY-MM-DD")</f>
        <v/>
      </c>
      <c r="E805" s="8">
        <f>HOUR(C805)</f>
        <v/>
      </c>
      <c r="F805" s="7" t="inlineStr">
        <is>
          <t>Unspecified</t>
        </is>
      </c>
      <c r="G805" s="8" t="n">
        <v>67</v>
      </c>
      <c r="H805" s="7">
        <f>IF(G805&gt;=60, "Boomer", IF(G805&gt;=45, "Gen X", IF(G805&gt;=25, "Millennial", "Gen Z")))</f>
        <v/>
      </c>
      <c r="I805" s="7" t="inlineStr">
        <is>
          <t>Checking</t>
        </is>
      </c>
      <c r="J805" s="7" t="inlineStr">
        <is>
          <t>Utilities</t>
        </is>
      </c>
      <c r="K805" s="9" t="n">
        <v>2316.19</v>
      </c>
      <c r="L805" s="9" t="n">
        <v>40380.8</v>
      </c>
      <c r="M805" s="7" t="inlineStr">
        <is>
          <t>ATM</t>
        </is>
      </c>
      <c r="N805" s="7" t="inlineStr">
        <is>
          <t>N</t>
        </is>
      </c>
      <c r="O805" s="7">
        <f>TEXT(D805, "dddd")</f>
        <v/>
      </c>
      <c r="P805" s="7">
        <f>"Q"&amp;ROUNDUP(MONTH(D805)/3, 0)</f>
        <v/>
      </c>
    </row>
    <row r="806">
      <c r="A806" s="4" t="inlineStr">
        <is>
          <t>TXN100809</t>
        </is>
      </c>
      <c r="B806" s="4" t="inlineStr">
        <is>
          <t>CUST0809</t>
        </is>
      </c>
      <c r="C806" s="4" t="inlineStr">
        <is>
          <t>2026-06-01 23:57:00</t>
        </is>
      </c>
      <c r="D806" s="4">
        <f>TEXT(LEFT(C806,10),"YYYY-MM-DD")</f>
        <v/>
      </c>
      <c r="E806" s="5">
        <f>HOUR(C806)</f>
        <v/>
      </c>
      <c r="F806" s="4" t="inlineStr">
        <is>
          <t>Unspecified</t>
        </is>
      </c>
      <c r="G806" s="5" t="n">
        <v>28</v>
      </c>
      <c r="H806" s="4">
        <f>IF(G806&gt;=60, "Boomer", IF(G806&gt;=45, "Gen X", IF(G806&gt;=25, "Millennial", "Gen Z")))</f>
        <v/>
      </c>
      <c r="I806" s="4" t="inlineStr">
        <is>
          <t>Investment</t>
        </is>
      </c>
      <c r="J806" s="4" t="inlineStr">
        <is>
          <t>Travel</t>
        </is>
      </c>
      <c r="K806" s="6" t="n">
        <v>697.76</v>
      </c>
      <c r="L806" s="6" t="n">
        <v>10785.3</v>
      </c>
      <c r="M806" s="4" t="inlineStr">
        <is>
          <t>ATM</t>
        </is>
      </c>
      <c r="N806" s="4" t="inlineStr">
        <is>
          <t>N</t>
        </is>
      </c>
      <c r="O806" s="4">
        <f>TEXT(D806, "dddd")</f>
        <v/>
      </c>
      <c r="P806" s="4">
        <f>"Q"&amp;ROUNDUP(MONTH(D806)/3, 0)</f>
        <v/>
      </c>
    </row>
    <row r="807">
      <c r="A807" s="7" t="inlineStr">
        <is>
          <t>TXN100810</t>
        </is>
      </c>
      <c r="B807" s="7" t="inlineStr">
        <is>
          <t>CUST0810</t>
        </is>
      </c>
      <c r="C807" s="7" t="inlineStr">
        <is>
          <t>2026-06-01 16:21:00</t>
        </is>
      </c>
      <c r="D807" s="7">
        <f>TEXT(LEFT(C807,10),"YYYY-MM-DD")</f>
        <v/>
      </c>
      <c r="E807" s="8">
        <f>HOUR(C807)</f>
        <v/>
      </c>
      <c r="F807" s="7" t="inlineStr">
        <is>
          <t>Male</t>
        </is>
      </c>
      <c r="G807" s="8" t="n">
        <v>57</v>
      </c>
      <c r="H807" s="7">
        <f>IF(G807&gt;=60, "Boomer", IF(G807&gt;=45, "Gen X", IF(G807&gt;=25, "Millennial", "Gen Z")))</f>
        <v/>
      </c>
      <c r="I807" s="7" t="inlineStr">
        <is>
          <t>Checking</t>
        </is>
      </c>
      <c r="J807" s="7" t="inlineStr">
        <is>
          <t>Groceries</t>
        </is>
      </c>
      <c r="K807" s="9" t="n">
        <v>62.88</v>
      </c>
      <c r="L807" s="9" t="n">
        <v>32120.9</v>
      </c>
      <c r="M807" s="7" t="inlineStr">
        <is>
          <t>Branch Office</t>
        </is>
      </c>
      <c r="N807" s="7" t="inlineStr">
        <is>
          <t>N</t>
        </is>
      </c>
      <c r="O807" s="7">
        <f>TEXT(D807, "dddd")</f>
        <v/>
      </c>
      <c r="P807" s="7">
        <f>"Q"&amp;ROUNDUP(MONTH(D807)/3, 0)</f>
        <v/>
      </c>
    </row>
    <row r="808">
      <c r="A808" s="4" t="inlineStr">
        <is>
          <t>TXN100811</t>
        </is>
      </c>
      <c r="B808" s="4" t="inlineStr">
        <is>
          <t>CUST0811</t>
        </is>
      </c>
      <c r="C808" s="4" t="inlineStr">
        <is>
          <t>2026-06-01 13:11:00</t>
        </is>
      </c>
      <c r="D808" s="4">
        <f>TEXT(LEFT(C808,10),"YYYY-MM-DD")</f>
        <v/>
      </c>
      <c r="E808" s="5">
        <f>HOUR(C808)</f>
        <v/>
      </c>
      <c r="F808" s="4" t="inlineStr">
        <is>
          <t>Unspecified</t>
        </is>
      </c>
      <c r="G808" s="5" t="n">
        <v>65</v>
      </c>
      <c r="H808" s="4">
        <f>IF(G808&gt;=60, "Boomer", IF(G808&gt;=45, "Gen X", IF(G808&gt;=25, "Millennial", "Gen Z")))</f>
        <v/>
      </c>
      <c r="I808" s="4" t="inlineStr">
        <is>
          <t>Investment</t>
        </is>
      </c>
      <c r="J808" s="4" t="inlineStr">
        <is>
          <t>Groceries</t>
        </is>
      </c>
      <c r="K808" s="6" t="n">
        <v>1602.07</v>
      </c>
      <c r="L808" s="6" t="n">
        <v>41698.04</v>
      </c>
      <c r="M808" s="4" t="inlineStr">
        <is>
          <t>Branch Office</t>
        </is>
      </c>
      <c r="N808" s="4" t="inlineStr">
        <is>
          <t>N</t>
        </is>
      </c>
      <c r="O808" s="4">
        <f>TEXT(D808, "dddd")</f>
        <v/>
      </c>
      <c r="P808" s="4">
        <f>"Q"&amp;ROUNDUP(MONTH(D808)/3, 0)</f>
        <v/>
      </c>
    </row>
    <row r="809">
      <c r="A809" s="7" t="inlineStr">
        <is>
          <t>TXN100812</t>
        </is>
      </c>
      <c r="B809" s="7" t="inlineStr">
        <is>
          <t>CUST0812</t>
        </is>
      </c>
      <c r="C809" s="7" t="inlineStr">
        <is>
          <t>2026-06-01 17:31:00</t>
        </is>
      </c>
      <c r="D809" s="7">
        <f>TEXT(LEFT(C809,10),"YYYY-MM-DD")</f>
        <v/>
      </c>
      <c r="E809" s="8">
        <f>HOUR(C809)</f>
        <v/>
      </c>
      <c r="F809" s="7" t="inlineStr">
        <is>
          <t>Male</t>
        </is>
      </c>
      <c r="G809" s="8" t="n">
        <v>72</v>
      </c>
      <c r="H809" s="7">
        <f>IF(G809&gt;=60, "Boomer", IF(G809&gt;=45, "Gen X", IF(G809&gt;=25, "Millennial", "Gen Z")))</f>
        <v/>
      </c>
      <c r="I809" s="7" t="inlineStr">
        <is>
          <t>Checking</t>
        </is>
      </c>
      <c r="J809" s="7" t="inlineStr">
        <is>
          <t>Travel</t>
        </is>
      </c>
      <c r="K809" s="9" t="n">
        <v>2438.28</v>
      </c>
      <c r="L809" s="9" t="n">
        <v>28184.41</v>
      </c>
      <c r="M809" s="7" t="inlineStr">
        <is>
          <t>ATM</t>
        </is>
      </c>
      <c r="N809" s="7" t="inlineStr">
        <is>
          <t>N</t>
        </is>
      </c>
      <c r="O809" s="7">
        <f>TEXT(D809, "dddd")</f>
        <v/>
      </c>
      <c r="P809" s="7">
        <f>"Q"&amp;ROUNDUP(MONTH(D809)/3, 0)</f>
        <v/>
      </c>
    </row>
    <row r="810">
      <c r="A810" s="4" t="inlineStr">
        <is>
          <t>TXN100813</t>
        </is>
      </c>
      <c r="B810" s="4" t="inlineStr">
        <is>
          <t>CUST0813</t>
        </is>
      </c>
      <c r="C810" s="4" t="inlineStr">
        <is>
          <t>2026-06-01 07:01:00</t>
        </is>
      </c>
      <c r="D810" s="4">
        <f>TEXT(LEFT(C810,10),"YYYY-MM-DD")</f>
        <v/>
      </c>
      <c r="E810" s="5">
        <f>HOUR(C810)</f>
        <v/>
      </c>
      <c r="F810" s="4" t="inlineStr">
        <is>
          <t>Male</t>
        </is>
      </c>
      <c r="G810" s="5" t="n">
        <v>29</v>
      </c>
      <c r="H810" s="4">
        <f>IF(G810&gt;=60, "Boomer", IF(G810&gt;=45, "Gen X", IF(G810&gt;=25, "Millennial", "Gen Z")))</f>
        <v/>
      </c>
      <c r="I810" s="4" t="inlineStr">
        <is>
          <t>Checking</t>
        </is>
      </c>
      <c r="J810" s="4" t="inlineStr">
        <is>
          <t>Entertainment</t>
        </is>
      </c>
      <c r="K810" s="6" t="n">
        <v>7648.65</v>
      </c>
      <c r="L810" s="6" t="n">
        <v>41795.03</v>
      </c>
      <c r="M810" s="4" t="inlineStr">
        <is>
          <t>ATM</t>
        </is>
      </c>
      <c r="N810" s="4" t="inlineStr">
        <is>
          <t>N</t>
        </is>
      </c>
      <c r="O810" s="4">
        <f>TEXT(D810, "dddd")</f>
        <v/>
      </c>
      <c r="P810" s="4">
        <f>"Q"&amp;ROUNDUP(MONTH(D810)/3, 0)</f>
        <v/>
      </c>
    </row>
    <row r="811">
      <c r="A811" s="7" t="inlineStr">
        <is>
          <t>TXN100814</t>
        </is>
      </c>
      <c r="B811" s="7" t="inlineStr">
        <is>
          <t>CUST0814</t>
        </is>
      </c>
      <c r="C811" s="7" t="inlineStr">
        <is>
          <t>2026-06-01 21:57:00</t>
        </is>
      </c>
      <c r="D811" s="7">
        <f>TEXT(LEFT(C811,10),"YYYY-MM-DD")</f>
        <v/>
      </c>
      <c r="E811" s="8">
        <f>HOUR(C811)</f>
        <v/>
      </c>
      <c r="F811" s="7" t="inlineStr">
        <is>
          <t>Female</t>
        </is>
      </c>
      <c r="G811" s="8" t="n">
        <v>46</v>
      </c>
      <c r="H811" s="7">
        <f>IF(G811&gt;=60, "Boomer", IF(G811&gt;=45, "Gen X", IF(G811&gt;=25, "Millennial", "Gen Z")))</f>
        <v/>
      </c>
      <c r="I811" s="7" t="inlineStr">
        <is>
          <t>Savings</t>
        </is>
      </c>
      <c r="J811" s="7" t="inlineStr">
        <is>
          <t>Utilities</t>
        </is>
      </c>
      <c r="K811" s="9" t="n">
        <v>7255.28</v>
      </c>
      <c r="L811" s="9" t="n">
        <v>32416.9</v>
      </c>
      <c r="M811" s="7" t="inlineStr">
        <is>
          <t>Mobile App</t>
        </is>
      </c>
      <c r="N811" s="7" t="inlineStr">
        <is>
          <t>N</t>
        </is>
      </c>
      <c r="O811" s="7">
        <f>TEXT(D811, "dddd")</f>
        <v/>
      </c>
      <c r="P811" s="7">
        <f>"Q"&amp;ROUNDUP(MONTH(D811)/3, 0)</f>
        <v/>
      </c>
    </row>
    <row r="812">
      <c r="A812" s="4" t="inlineStr">
        <is>
          <t>TXN100815</t>
        </is>
      </c>
      <c r="B812" s="4" t="inlineStr">
        <is>
          <t>CUST0815</t>
        </is>
      </c>
      <c r="C812" s="4" t="inlineStr">
        <is>
          <t>2026-06-01 08:31:00</t>
        </is>
      </c>
      <c r="D812" s="4">
        <f>TEXT(LEFT(C812,10),"YYYY-MM-DD")</f>
        <v/>
      </c>
      <c r="E812" s="5">
        <f>HOUR(C812)</f>
        <v/>
      </c>
      <c r="F812" s="4" t="inlineStr">
        <is>
          <t>Male</t>
        </is>
      </c>
      <c r="G812" s="5" t="n">
        <v>58</v>
      </c>
      <c r="H812" s="4">
        <f>IF(G812&gt;=60, "Boomer", IF(G812&gt;=45, "Gen X", IF(G812&gt;=25, "Millennial", "Gen Z")))</f>
        <v/>
      </c>
      <c r="I812" s="4" t="inlineStr">
        <is>
          <t>Investment</t>
        </is>
      </c>
      <c r="J812" s="4" t="inlineStr">
        <is>
          <t>Entertainment</t>
        </is>
      </c>
      <c r="K812" s="6" t="n">
        <v>4652.72</v>
      </c>
      <c r="L812" s="6" t="n">
        <v>28495.94</v>
      </c>
      <c r="M812" s="4" t="inlineStr">
        <is>
          <t>Branch Office</t>
        </is>
      </c>
      <c r="N812" s="4" t="inlineStr">
        <is>
          <t>N</t>
        </is>
      </c>
      <c r="O812" s="4">
        <f>TEXT(D812, "dddd")</f>
        <v/>
      </c>
      <c r="P812" s="4">
        <f>"Q"&amp;ROUNDUP(MONTH(D812)/3, 0)</f>
        <v/>
      </c>
    </row>
    <row r="813">
      <c r="A813" s="7" t="inlineStr">
        <is>
          <t>TXN100816</t>
        </is>
      </c>
      <c r="B813" s="7" t="inlineStr">
        <is>
          <t>CUST0816</t>
        </is>
      </c>
      <c r="C813" s="7" t="inlineStr">
        <is>
          <t>2026-06-01 20:43:00</t>
        </is>
      </c>
      <c r="D813" s="7">
        <f>TEXT(LEFT(C813,10),"YYYY-MM-DD")</f>
        <v/>
      </c>
      <c r="E813" s="8">
        <f>HOUR(C813)</f>
        <v/>
      </c>
      <c r="F813" s="7" t="inlineStr">
        <is>
          <t>Unspecified</t>
        </is>
      </c>
      <c r="G813" s="8" t="n">
        <v>64</v>
      </c>
      <c r="H813" s="7">
        <f>IF(G813&gt;=60, "Boomer", IF(G813&gt;=45, "Gen X", IF(G813&gt;=25, "Millennial", "Gen Z")))</f>
        <v/>
      </c>
      <c r="I813" s="7" t="inlineStr">
        <is>
          <t>Savings</t>
        </is>
      </c>
      <c r="J813" s="7" t="inlineStr">
        <is>
          <t>Entertainment</t>
        </is>
      </c>
      <c r="K813" s="9" t="n">
        <v>4105.08</v>
      </c>
      <c r="L813" s="9" t="n">
        <v>28975.55</v>
      </c>
      <c r="M813" s="7" t="inlineStr">
        <is>
          <t>Branch Office</t>
        </is>
      </c>
      <c r="N813" s="7" t="inlineStr">
        <is>
          <t>N</t>
        </is>
      </c>
      <c r="O813" s="7">
        <f>TEXT(D813, "dddd")</f>
        <v/>
      </c>
      <c r="P813" s="7">
        <f>"Q"&amp;ROUNDUP(MONTH(D813)/3, 0)</f>
        <v/>
      </c>
    </row>
    <row r="814">
      <c r="A814" s="4" t="inlineStr">
        <is>
          <t>TXN100817</t>
        </is>
      </c>
      <c r="B814" s="4" t="inlineStr">
        <is>
          <t>CUST0817</t>
        </is>
      </c>
      <c r="C814" s="4" t="inlineStr">
        <is>
          <t>2026-06-01 05:37:00</t>
        </is>
      </c>
      <c r="D814" s="4">
        <f>TEXT(LEFT(C814,10),"YYYY-MM-DD")</f>
        <v/>
      </c>
      <c r="E814" s="5">
        <f>HOUR(C814)</f>
        <v/>
      </c>
      <c r="F814" s="4" t="inlineStr">
        <is>
          <t>Male</t>
        </is>
      </c>
      <c r="G814" s="5" t="n">
        <v>29</v>
      </c>
      <c r="H814" s="4">
        <f>IF(G814&gt;=60, "Boomer", IF(G814&gt;=45, "Gen X", IF(G814&gt;=25, "Millennial", "Gen Z")))</f>
        <v/>
      </c>
      <c r="I814" s="4" t="inlineStr">
        <is>
          <t>Checking</t>
        </is>
      </c>
      <c r="J814" s="4" t="inlineStr">
        <is>
          <t>Utilities</t>
        </is>
      </c>
      <c r="K814" s="6" t="n">
        <v>7027.75</v>
      </c>
      <c r="L814" s="6" t="n">
        <v>7207.12</v>
      </c>
      <c r="M814" s="4" t="inlineStr">
        <is>
          <t>Online Banking</t>
        </is>
      </c>
      <c r="N814" s="4" t="inlineStr">
        <is>
          <t>N</t>
        </is>
      </c>
      <c r="O814" s="4">
        <f>TEXT(D814, "dddd")</f>
        <v/>
      </c>
      <c r="P814" s="4">
        <f>"Q"&amp;ROUNDUP(MONTH(D814)/3, 0)</f>
        <v/>
      </c>
    </row>
    <row r="815">
      <c r="A815" s="7" t="inlineStr">
        <is>
          <t>TXN100818</t>
        </is>
      </c>
      <c r="B815" s="7" t="inlineStr">
        <is>
          <t>CUST0818</t>
        </is>
      </c>
      <c r="C815" s="7" t="inlineStr">
        <is>
          <t>2026-06-01 11:26:00</t>
        </is>
      </c>
      <c r="D815" s="7">
        <f>TEXT(LEFT(C815,10),"YYYY-MM-DD")</f>
        <v/>
      </c>
      <c r="E815" s="8">
        <f>HOUR(C815)</f>
        <v/>
      </c>
      <c r="F815" s="7" t="inlineStr">
        <is>
          <t>Female</t>
        </is>
      </c>
      <c r="G815" s="8" t="n">
        <v>23</v>
      </c>
      <c r="H815" s="7">
        <f>IF(G815&gt;=60, "Boomer", IF(G815&gt;=45, "Gen X", IF(G815&gt;=25, "Millennial", "Gen Z")))</f>
        <v/>
      </c>
      <c r="I815" s="7" t="inlineStr">
        <is>
          <t>Checking</t>
        </is>
      </c>
      <c r="J815" s="7" t="inlineStr">
        <is>
          <t>Entertainment</t>
        </is>
      </c>
      <c r="K815" s="9" t="n">
        <v>4241.6</v>
      </c>
      <c r="L815" s="9" t="n">
        <v>46847.69</v>
      </c>
      <c r="M815" s="7" t="inlineStr">
        <is>
          <t>Online Banking</t>
        </is>
      </c>
      <c r="N815" s="7" t="inlineStr">
        <is>
          <t>N</t>
        </is>
      </c>
      <c r="O815" s="7">
        <f>TEXT(D815, "dddd")</f>
        <v/>
      </c>
      <c r="P815" s="7">
        <f>"Q"&amp;ROUNDUP(MONTH(D815)/3, 0)</f>
        <v/>
      </c>
    </row>
    <row r="816">
      <c r="A816" s="4" t="inlineStr">
        <is>
          <t>TXN100819</t>
        </is>
      </c>
      <c r="B816" s="4" t="inlineStr">
        <is>
          <t>CUST0819</t>
        </is>
      </c>
      <c r="C816" s="4" t="inlineStr">
        <is>
          <t>2026-06-01 20:11:00</t>
        </is>
      </c>
      <c r="D816" s="4">
        <f>TEXT(LEFT(C816,10),"YYYY-MM-DD")</f>
        <v/>
      </c>
      <c r="E816" s="5">
        <f>HOUR(C816)</f>
        <v/>
      </c>
      <c r="F816" s="4" t="inlineStr">
        <is>
          <t>Male</t>
        </is>
      </c>
      <c r="G816" s="5" t="n">
        <v>58</v>
      </c>
      <c r="H816" s="4">
        <f>IF(G816&gt;=60, "Boomer", IF(G816&gt;=45, "Gen X", IF(G816&gt;=25, "Millennial", "Gen Z")))</f>
        <v/>
      </c>
      <c r="I816" s="4" t="inlineStr">
        <is>
          <t>Savings</t>
        </is>
      </c>
      <c r="J816" s="4" t="inlineStr">
        <is>
          <t>Travel</t>
        </is>
      </c>
      <c r="K816" s="6" t="n">
        <v>2587.63</v>
      </c>
      <c r="L816" s="6" t="n">
        <v>16152.42</v>
      </c>
      <c r="M816" s="4" t="inlineStr">
        <is>
          <t>Branch Office</t>
        </is>
      </c>
      <c r="N816" s="4" t="inlineStr">
        <is>
          <t>N</t>
        </is>
      </c>
      <c r="O816" s="4">
        <f>TEXT(D816, "dddd")</f>
        <v/>
      </c>
      <c r="P816" s="4">
        <f>"Q"&amp;ROUNDUP(MONTH(D816)/3, 0)</f>
        <v/>
      </c>
    </row>
    <row r="817">
      <c r="A817" s="7" t="inlineStr">
        <is>
          <t>TXN100820</t>
        </is>
      </c>
      <c r="B817" s="7" t="inlineStr">
        <is>
          <t>CUST0820</t>
        </is>
      </c>
      <c r="C817" s="7" t="inlineStr">
        <is>
          <t>2026-06-01 08:43:00</t>
        </is>
      </c>
      <c r="D817" s="7">
        <f>TEXT(LEFT(C817,10),"YYYY-MM-DD")</f>
        <v/>
      </c>
      <c r="E817" s="8">
        <f>HOUR(C817)</f>
        <v/>
      </c>
      <c r="F817" s="7" t="inlineStr">
        <is>
          <t>Female</t>
        </is>
      </c>
      <c r="G817" s="8" t="n">
        <v>26</v>
      </c>
      <c r="H817" s="7">
        <f>IF(G817&gt;=60, "Boomer", IF(G817&gt;=45, "Gen X", IF(G817&gt;=25, "Millennial", "Gen Z")))</f>
        <v/>
      </c>
      <c r="I817" s="7" t="inlineStr">
        <is>
          <t>Investment</t>
        </is>
      </c>
      <c r="J817" s="7" t="inlineStr">
        <is>
          <t>Travel</t>
        </is>
      </c>
      <c r="K817" s="9" t="n">
        <v>2819.52</v>
      </c>
      <c r="L817" s="9" t="n">
        <v>7614.02</v>
      </c>
      <c r="M817" s="7" t="inlineStr">
        <is>
          <t>Online Banking</t>
        </is>
      </c>
      <c r="N817" s="7" t="inlineStr">
        <is>
          <t>N</t>
        </is>
      </c>
      <c r="O817" s="7">
        <f>TEXT(D817, "dddd")</f>
        <v/>
      </c>
      <c r="P817" s="7">
        <f>"Q"&amp;ROUNDUP(MONTH(D817)/3, 0)</f>
        <v/>
      </c>
    </row>
    <row r="818">
      <c r="A818" s="4" t="inlineStr">
        <is>
          <t>TXN100821</t>
        </is>
      </c>
      <c r="B818" s="4" t="inlineStr">
        <is>
          <t>CUST0821</t>
        </is>
      </c>
      <c r="C818" s="4" t="inlineStr">
        <is>
          <t>2026-06-01 16:18:00</t>
        </is>
      </c>
      <c r="D818" s="4">
        <f>TEXT(LEFT(C818,10),"YYYY-MM-DD")</f>
        <v/>
      </c>
      <c r="E818" s="5">
        <f>HOUR(C818)</f>
        <v/>
      </c>
      <c r="F818" s="4" t="inlineStr">
        <is>
          <t>Female</t>
        </is>
      </c>
      <c r="G818" s="5" t="n">
        <v>69</v>
      </c>
      <c r="H818" s="4">
        <f>IF(G818&gt;=60, "Boomer", IF(G818&gt;=45, "Gen X", IF(G818&gt;=25, "Millennial", "Gen Z")))</f>
        <v/>
      </c>
      <c r="I818" s="4" t="inlineStr">
        <is>
          <t>Checking</t>
        </is>
      </c>
      <c r="J818" s="4" t="inlineStr">
        <is>
          <t>Utilities</t>
        </is>
      </c>
      <c r="K818" s="6" t="n">
        <v>2729.1</v>
      </c>
      <c r="L818" s="6" t="n">
        <v>45584</v>
      </c>
      <c r="M818" s="4" t="inlineStr">
        <is>
          <t>Mobile App</t>
        </is>
      </c>
      <c r="N818" s="4" t="inlineStr">
        <is>
          <t>N</t>
        </is>
      </c>
      <c r="O818" s="4">
        <f>TEXT(D818, "dddd")</f>
        <v/>
      </c>
      <c r="P818" s="4">
        <f>"Q"&amp;ROUNDUP(MONTH(D818)/3, 0)</f>
        <v/>
      </c>
    </row>
    <row r="819">
      <c r="A819" s="7" t="inlineStr">
        <is>
          <t>TXN100822</t>
        </is>
      </c>
      <c r="B819" s="7" t="inlineStr">
        <is>
          <t>CUST0822</t>
        </is>
      </c>
      <c r="C819" s="7" t="inlineStr">
        <is>
          <t>2026-06-01 06:09:00</t>
        </is>
      </c>
      <c r="D819" s="7">
        <f>TEXT(LEFT(C819,10),"YYYY-MM-DD")</f>
        <v/>
      </c>
      <c r="E819" s="8">
        <f>HOUR(C819)</f>
        <v/>
      </c>
      <c r="F819" s="7" t="inlineStr">
        <is>
          <t>Female</t>
        </is>
      </c>
      <c r="G819" s="8" t="n">
        <v>73</v>
      </c>
      <c r="H819" s="7">
        <f>IF(G819&gt;=60, "Boomer", IF(G819&gt;=45, "Gen X", IF(G819&gt;=25, "Millennial", "Gen Z")))</f>
        <v/>
      </c>
      <c r="I819" s="7" t="inlineStr">
        <is>
          <t>Savings</t>
        </is>
      </c>
      <c r="J819" s="7" t="inlineStr">
        <is>
          <t>Travel</t>
        </is>
      </c>
      <c r="K819" s="9" t="n">
        <v>4911.29</v>
      </c>
      <c r="L819" s="9" t="n">
        <v>41655.1</v>
      </c>
      <c r="M819" s="7" t="inlineStr">
        <is>
          <t>Mobile App</t>
        </is>
      </c>
      <c r="N819" s="7" t="inlineStr">
        <is>
          <t>N</t>
        </is>
      </c>
      <c r="O819" s="7">
        <f>TEXT(D819, "dddd")</f>
        <v/>
      </c>
      <c r="P819" s="7">
        <f>"Q"&amp;ROUNDUP(MONTH(D819)/3, 0)</f>
        <v/>
      </c>
    </row>
    <row r="820">
      <c r="A820" s="4" t="inlineStr">
        <is>
          <t>TXN100823</t>
        </is>
      </c>
      <c r="B820" s="4" t="inlineStr">
        <is>
          <t>CUST0823</t>
        </is>
      </c>
      <c r="C820" s="4" t="inlineStr">
        <is>
          <t>2026-06-01 13:29:00</t>
        </is>
      </c>
      <c r="D820" s="4">
        <f>TEXT(LEFT(C820,10),"YYYY-MM-DD")</f>
        <v/>
      </c>
      <c r="E820" s="5">
        <f>HOUR(C820)</f>
        <v/>
      </c>
      <c r="F820" s="4" t="inlineStr">
        <is>
          <t>Male</t>
        </is>
      </c>
      <c r="G820" s="5" t="n">
        <v>27</v>
      </c>
      <c r="H820" s="4">
        <f>IF(G820&gt;=60, "Boomer", IF(G820&gt;=45, "Gen X", IF(G820&gt;=25, "Millennial", "Gen Z")))</f>
        <v/>
      </c>
      <c r="I820" s="4" t="inlineStr">
        <is>
          <t>Savings</t>
        </is>
      </c>
      <c r="J820" s="4" t="inlineStr">
        <is>
          <t>Groceries</t>
        </is>
      </c>
      <c r="K820" s="6" t="n">
        <v>3841.35</v>
      </c>
      <c r="L820" s="6" t="n">
        <v>15922.89</v>
      </c>
      <c r="M820" s="4" t="inlineStr">
        <is>
          <t>Branch Office</t>
        </is>
      </c>
      <c r="N820" s="4" t="inlineStr">
        <is>
          <t>N</t>
        </is>
      </c>
      <c r="O820" s="4">
        <f>TEXT(D820, "dddd")</f>
        <v/>
      </c>
      <c r="P820" s="4">
        <f>"Q"&amp;ROUNDUP(MONTH(D820)/3, 0)</f>
        <v/>
      </c>
    </row>
    <row r="821">
      <c r="A821" s="7" t="inlineStr">
        <is>
          <t>TXN100824</t>
        </is>
      </c>
      <c r="B821" s="7" t="inlineStr">
        <is>
          <t>CUST0824</t>
        </is>
      </c>
      <c r="C821" s="7" t="inlineStr">
        <is>
          <t>2026-06-01 04:52:00</t>
        </is>
      </c>
      <c r="D821" s="7">
        <f>TEXT(LEFT(C821,10),"YYYY-MM-DD")</f>
        <v/>
      </c>
      <c r="E821" s="8">
        <f>HOUR(C821)</f>
        <v/>
      </c>
      <c r="F821" s="7" t="inlineStr">
        <is>
          <t>Unspecified</t>
        </is>
      </c>
      <c r="G821" s="8" t="n">
        <v>58</v>
      </c>
      <c r="H821" s="7">
        <f>IF(G821&gt;=60, "Boomer", IF(G821&gt;=45, "Gen X", IF(G821&gt;=25, "Millennial", "Gen Z")))</f>
        <v/>
      </c>
      <c r="I821" s="7" t="inlineStr">
        <is>
          <t>Investment</t>
        </is>
      </c>
      <c r="J821" s="7" t="inlineStr">
        <is>
          <t>Entertainment</t>
        </is>
      </c>
      <c r="K821" s="9" t="n">
        <v>1385.94</v>
      </c>
      <c r="L821" s="9" t="n">
        <v>15581.87</v>
      </c>
      <c r="M821" s="7" t="inlineStr">
        <is>
          <t>Mobile App</t>
        </is>
      </c>
      <c r="N821" s="7" t="inlineStr">
        <is>
          <t>N</t>
        </is>
      </c>
      <c r="O821" s="7">
        <f>TEXT(D821, "dddd")</f>
        <v/>
      </c>
      <c r="P821" s="7">
        <f>"Q"&amp;ROUNDUP(MONTH(D821)/3, 0)</f>
        <v/>
      </c>
    </row>
    <row r="822">
      <c r="A822" s="4" t="inlineStr">
        <is>
          <t>TXN100825</t>
        </is>
      </c>
      <c r="B822" s="4" t="inlineStr">
        <is>
          <t>CUST0825</t>
        </is>
      </c>
      <c r="C822" s="4" t="inlineStr">
        <is>
          <t>2026-06-01 07:08:00</t>
        </is>
      </c>
      <c r="D822" s="4">
        <f>TEXT(LEFT(C822,10),"YYYY-MM-DD")</f>
        <v/>
      </c>
      <c r="E822" s="5">
        <f>HOUR(C822)</f>
        <v/>
      </c>
      <c r="F822" s="4" t="inlineStr">
        <is>
          <t>Male</t>
        </is>
      </c>
      <c r="G822" s="5" t="n">
        <v>64</v>
      </c>
      <c r="H822" s="4">
        <f>IF(G822&gt;=60, "Boomer", IF(G822&gt;=45, "Gen X", IF(G822&gt;=25, "Millennial", "Gen Z")))</f>
        <v/>
      </c>
      <c r="I822" s="4" t="inlineStr">
        <is>
          <t>Savings</t>
        </is>
      </c>
      <c r="J822" s="4" t="inlineStr">
        <is>
          <t>Entertainment</t>
        </is>
      </c>
      <c r="K822" s="6" t="n">
        <v>1011.5</v>
      </c>
      <c r="L822" s="6" t="n">
        <v>6945.8</v>
      </c>
      <c r="M822" s="4" t="inlineStr">
        <is>
          <t>Mobile App</t>
        </is>
      </c>
      <c r="N822" s="4" t="inlineStr">
        <is>
          <t>N</t>
        </is>
      </c>
      <c r="O822" s="4">
        <f>TEXT(D822, "dddd")</f>
        <v/>
      </c>
      <c r="P822" s="4">
        <f>"Q"&amp;ROUNDUP(MONTH(D822)/3, 0)</f>
        <v/>
      </c>
    </row>
    <row r="823">
      <c r="A823" s="7" t="inlineStr">
        <is>
          <t>TXN100826</t>
        </is>
      </c>
      <c r="B823" s="7" t="inlineStr">
        <is>
          <t>CUST0826</t>
        </is>
      </c>
      <c r="C823" s="7" t="inlineStr">
        <is>
          <t>2026-06-01 13:44:00</t>
        </is>
      </c>
      <c r="D823" s="7">
        <f>TEXT(LEFT(C823,10),"YYYY-MM-DD")</f>
        <v/>
      </c>
      <c r="E823" s="8">
        <f>HOUR(C823)</f>
        <v/>
      </c>
      <c r="F823" s="7" t="inlineStr">
        <is>
          <t>Male</t>
        </is>
      </c>
      <c r="G823" s="8" t="n">
        <v>24</v>
      </c>
      <c r="H823" s="7">
        <f>IF(G823&gt;=60, "Boomer", IF(G823&gt;=45, "Gen X", IF(G823&gt;=25, "Millennial", "Gen Z")))</f>
        <v/>
      </c>
      <c r="I823" s="7" t="inlineStr">
        <is>
          <t>Savings</t>
        </is>
      </c>
      <c r="J823" s="7" t="inlineStr">
        <is>
          <t>Utilities</t>
        </is>
      </c>
      <c r="K823" s="9" t="n">
        <v>6061.1</v>
      </c>
      <c r="L823" s="9" t="n">
        <v>2604.59</v>
      </c>
      <c r="M823" s="7" t="inlineStr">
        <is>
          <t>Mobile App</t>
        </is>
      </c>
      <c r="N823" s="7" t="inlineStr">
        <is>
          <t>N</t>
        </is>
      </c>
      <c r="O823" s="7">
        <f>TEXT(D823, "dddd")</f>
        <v/>
      </c>
      <c r="P823" s="7">
        <f>"Q"&amp;ROUNDUP(MONTH(D823)/3, 0)</f>
        <v/>
      </c>
    </row>
    <row r="824">
      <c r="A824" s="4" t="inlineStr">
        <is>
          <t>TXN100827</t>
        </is>
      </c>
      <c r="B824" s="4" t="inlineStr">
        <is>
          <t>CUST0827</t>
        </is>
      </c>
      <c r="C824" s="4" t="inlineStr">
        <is>
          <t>2026-06-01 01:50:00</t>
        </is>
      </c>
      <c r="D824" s="4">
        <f>TEXT(LEFT(C824,10),"YYYY-MM-DD")</f>
        <v/>
      </c>
      <c r="E824" s="5">
        <f>HOUR(C824)</f>
        <v/>
      </c>
      <c r="F824" s="4" t="inlineStr">
        <is>
          <t>Male</t>
        </is>
      </c>
      <c r="G824" s="5" t="n">
        <v>50</v>
      </c>
      <c r="H824" s="4">
        <f>IF(G824&gt;=60, "Boomer", IF(G824&gt;=45, "Gen X", IF(G824&gt;=25, "Millennial", "Gen Z")))</f>
        <v/>
      </c>
      <c r="I824" s="4" t="inlineStr">
        <is>
          <t>Savings</t>
        </is>
      </c>
      <c r="J824" s="4" t="inlineStr">
        <is>
          <t>Entertainment</t>
        </is>
      </c>
      <c r="K824" s="6" t="n">
        <v>355.82</v>
      </c>
      <c r="L824" s="6" t="n">
        <v>15431.47</v>
      </c>
      <c r="M824" s="4" t="inlineStr">
        <is>
          <t>Mobile App</t>
        </is>
      </c>
      <c r="N824" s="4" t="inlineStr">
        <is>
          <t>N</t>
        </is>
      </c>
      <c r="O824" s="4">
        <f>TEXT(D824, "dddd")</f>
        <v/>
      </c>
      <c r="P824" s="4">
        <f>"Q"&amp;ROUNDUP(MONTH(D824)/3, 0)</f>
        <v/>
      </c>
    </row>
    <row r="825">
      <c r="A825" s="7" t="inlineStr">
        <is>
          <t>TXN100828</t>
        </is>
      </c>
      <c r="B825" s="7" t="inlineStr">
        <is>
          <t>CUST0828</t>
        </is>
      </c>
      <c r="C825" s="7" t="inlineStr">
        <is>
          <t>2026-06-01 03:50:00</t>
        </is>
      </c>
      <c r="D825" s="7">
        <f>TEXT(LEFT(C825,10),"YYYY-MM-DD")</f>
        <v/>
      </c>
      <c r="E825" s="8">
        <f>HOUR(C825)</f>
        <v/>
      </c>
      <c r="F825" s="7" t="inlineStr">
        <is>
          <t>Male</t>
        </is>
      </c>
      <c r="G825" s="8" t="n">
        <v>58</v>
      </c>
      <c r="H825" s="7">
        <f>IF(G825&gt;=60, "Boomer", IF(G825&gt;=45, "Gen X", IF(G825&gt;=25, "Millennial", "Gen Z")))</f>
        <v/>
      </c>
      <c r="I825" s="7" t="inlineStr">
        <is>
          <t>Savings</t>
        </is>
      </c>
      <c r="J825" s="7" t="inlineStr">
        <is>
          <t>Travel</t>
        </is>
      </c>
      <c r="K825" s="9" t="n">
        <v>7210.39</v>
      </c>
      <c r="L825" s="9" t="n">
        <v>9646.700000000001</v>
      </c>
      <c r="M825" s="7" t="inlineStr">
        <is>
          <t>Branch Office</t>
        </is>
      </c>
      <c r="N825" s="7" t="inlineStr">
        <is>
          <t>N</t>
        </is>
      </c>
      <c r="O825" s="7">
        <f>TEXT(D825, "dddd")</f>
        <v/>
      </c>
      <c r="P825" s="7">
        <f>"Q"&amp;ROUNDUP(MONTH(D825)/3, 0)</f>
        <v/>
      </c>
    </row>
    <row r="826">
      <c r="A826" s="4" t="inlineStr">
        <is>
          <t>TXN100829</t>
        </is>
      </c>
      <c r="B826" s="4" t="inlineStr">
        <is>
          <t>CUST0829</t>
        </is>
      </c>
      <c r="C826" s="4" t="inlineStr">
        <is>
          <t>2026-06-01 04:54:00</t>
        </is>
      </c>
      <c r="D826" s="4">
        <f>TEXT(LEFT(C826,10),"YYYY-MM-DD")</f>
        <v/>
      </c>
      <c r="E826" s="5">
        <f>HOUR(C826)</f>
        <v/>
      </c>
      <c r="F826" s="4" t="inlineStr">
        <is>
          <t>Female</t>
        </is>
      </c>
      <c r="G826" s="5" t="n">
        <v>57</v>
      </c>
      <c r="H826" s="4">
        <f>IF(G826&gt;=60, "Boomer", IF(G826&gt;=45, "Gen X", IF(G826&gt;=25, "Millennial", "Gen Z")))</f>
        <v/>
      </c>
      <c r="I826" s="4" t="inlineStr">
        <is>
          <t>Checking</t>
        </is>
      </c>
      <c r="J826" s="4" t="inlineStr">
        <is>
          <t>Entertainment</t>
        </is>
      </c>
      <c r="K826" s="6" t="n">
        <v>1292.85</v>
      </c>
      <c r="L826" s="6" t="n">
        <v>25281.4</v>
      </c>
      <c r="M826" s="4" t="inlineStr">
        <is>
          <t>Online Banking</t>
        </is>
      </c>
      <c r="N826" s="4" t="inlineStr">
        <is>
          <t>N</t>
        </is>
      </c>
      <c r="O826" s="4">
        <f>TEXT(D826, "dddd")</f>
        <v/>
      </c>
      <c r="P826" s="4">
        <f>"Q"&amp;ROUNDUP(MONTH(D826)/3, 0)</f>
        <v/>
      </c>
    </row>
    <row r="827">
      <c r="A827" s="7" t="inlineStr">
        <is>
          <t>TXN100830</t>
        </is>
      </c>
      <c r="B827" s="7" t="inlineStr">
        <is>
          <t>CUST0830</t>
        </is>
      </c>
      <c r="C827" s="7" t="inlineStr">
        <is>
          <t>2026-06-01 16:36:00</t>
        </is>
      </c>
      <c r="D827" s="7">
        <f>TEXT(LEFT(C827,10),"YYYY-MM-DD")</f>
        <v/>
      </c>
      <c r="E827" s="8">
        <f>HOUR(C827)</f>
        <v/>
      </c>
      <c r="F827" s="7" t="inlineStr">
        <is>
          <t>Male</t>
        </is>
      </c>
      <c r="G827" s="8" t="n">
        <v>26</v>
      </c>
      <c r="H827" s="7">
        <f>IF(G827&gt;=60, "Boomer", IF(G827&gt;=45, "Gen X", IF(G827&gt;=25, "Millennial", "Gen Z")))</f>
        <v/>
      </c>
      <c r="I827" s="7" t="inlineStr">
        <is>
          <t>Investment</t>
        </is>
      </c>
      <c r="J827" s="7" t="inlineStr">
        <is>
          <t>Groceries</t>
        </is>
      </c>
      <c r="K827" s="9" t="n">
        <v>4235.42</v>
      </c>
      <c r="L827" s="9" t="n">
        <v>35932.68</v>
      </c>
      <c r="M827" s="7" t="inlineStr">
        <is>
          <t>Branch Office</t>
        </is>
      </c>
      <c r="N827" s="7" t="inlineStr">
        <is>
          <t>N</t>
        </is>
      </c>
      <c r="O827" s="7">
        <f>TEXT(D827, "dddd")</f>
        <v/>
      </c>
      <c r="P827" s="7">
        <f>"Q"&amp;ROUNDUP(MONTH(D827)/3, 0)</f>
        <v/>
      </c>
    </row>
    <row r="828">
      <c r="A828" s="4" t="inlineStr">
        <is>
          <t>TXN100831</t>
        </is>
      </c>
      <c r="B828" s="4" t="inlineStr">
        <is>
          <t>CUST0831</t>
        </is>
      </c>
      <c r="C828" s="4" t="inlineStr">
        <is>
          <t>2026-06-01 05:57:00</t>
        </is>
      </c>
      <c r="D828" s="4">
        <f>TEXT(LEFT(C828,10),"YYYY-MM-DD")</f>
        <v/>
      </c>
      <c r="E828" s="5">
        <f>HOUR(C828)</f>
        <v/>
      </c>
      <c r="F828" s="4" t="inlineStr">
        <is>
          <t>Male</t>
        </is>
      </c>
      <c r="G828" s="5" t="n">
        <v>66</v>
      </c>
      <c r="H828" s="4">
        <f>IF(G828&gt;=60, "Boomer", IF(G828&gt;=45, "Gen X", IF(G828&gt;=25, "Millennial", "Gen Z")))</f>
        <v/>
      </c>
      <c r="I828" s="4" t="inlineStr">
        <is>
          <t>Savings</t>
        </is>
      </c>
      <c r="J828" s="4" t="inlineStr">
        <is>
          <t>Groceries</t>
        </is>
      </c>
      <c r="K828" s="6" t="n">
        <v>7364.61</v>
      </c>
      <c r="L828" s="6" t="n">
        <v>42639.19</v>
      </c>
      <c r="M828" s="4" t="inlineStr">
        <is>
          <t>ATM</t>
        </is>
      </c>
      <c r="N828" s="4" t="inlineStr">
        <is>
          <t>N</t>
        </is>
      </c>
      <c r="O828" s="4">
        <f>TEXT(D828, "dddd")</f>
        <v/>
      </c>
      <c r="P828" s="4">
        <f>"Q"&amp;ROUNDUP(MONTH(D828)/3, 0)</f>
        <v/>
      </c>
    </row>
    <row r="829">
      <c r="A829" s="7" t="inlineStr">
        <is>
          <t>TXN100832</t>
        </is>
      </c>
      <c r="B829" s="7" t="inlineStr">
        <is>
          <t>CUST0832</t>
        </is>
      </c>
      <c r="C829" s="7" t="inlineStr">
        <is>
          <t>2026-06-01 18:11:00</t>
        </is>
      </c>
      <c r="D829" s="7">
        <f>TEXT(LEFT(C829,10),"YYYY-MM-DD")</f>
        <v/>
      </c>
      <c r="E829" s="8">
        <f>HOUR(C829)</f>
        <v/>
      </c>
      <c r="F829" s="7" t="inlineStr">
        <is>
          <t>Unspecified</t>
        </is>
      </c>
      <c r="G829" s="8" t="n">
        <v>63</v>
      </c>
      <c r="H829" s="7">
        <f>IF(G829&gt;=60, "Boomer", IF(G829&gt;=45, "Gen X", IF(G829&gt;=25, "Millennial", "Gen Z")))</f>
        <v/>
      </c>
      <c r="I829" s="7" t="inlineStr">
        <is>
          <t>Savings</t>
        </is>
      </c>
      <c r="J829" s="7" t="inlineStr">
        <is>
          <t>Groceries</t>
        </is>
      </c>
      <c r="K829" s="9" t="n">
        <v>6679.59</v>
      </c>
      <c r="L829" s="9" t="n">
        <v>49074.41</v>
      </c>
      <c r="M829" s="7" t="inlineStr">
        <is>
          <t>ATM</t>
        </is>
      </c>
      <c r="N829" s="7" t="inlineStr">
        <is>
          <t>N</t>
        </is>
      </c>
      <c r="O829" s="7">
        <f>TEXT(D829, "dddd")</f>
        <v/>
      </c>
      <c r="P829" s="7">
        <f>"Q"&amp;ROUNDUP(MONTH(D829)/3, 0)</f>
        <v/>
      </c>
    </row>
    <row r="830">
      <c r="A830" s="4" t="inlineStr">
        <is>
          <t>TXN100833</t>
        </is>
      </c>
      <c r="B830" s="4" t="inlineStr">
        <is>
          <t>CUST0833</t>
        </is>
      </c>
      <c r="C830" s="4" t="inlineStr">
        <is>
          <t>2026-06-01 06:32:00</t>
        </is>
      </c>
      <c r="D830" s="4">
        <f>TEXT(LEFT(C830,10),"YYYY-MM-DD")</f>
        <v/>
      </c>
      <c r="E830" s="5">
        <f>HOUR(C830)</f>
        <v/>
      </c>
      <c r="F830" s="4" t="inlineStr">
        <is>
          <t>Female</t>
        </is>
      </c>
      <c r="G830" s="5" t="n">
        <v>46</v>
      </c>
      <c r="H830" s="4">
        <f>IF(G830&gt;=60, "Boomer", IF(G830&gt;=45, "Gen X", IF(G830&gt;=25, "Millennial", "Gen Z")))</f>
        <v/>
      </c>
      <c r="I830" s="4" t="inlineStr">
        <is>
          <t>Savings</t>
        </is>
      </c>
      <c r="J830" s="4" t="inlineStr">
        <is>
          <t>Entertainment</t>
        </is>
      </c>
      <c r="K830" s="6" t="n">
        <v>997.6900000000001</v>
      </c>
      <c r="L830" s="6" t="n">
        <v>5960.65</v>
      </c>
      <c r="M830" s="4" t="inlineStr">
        <is>
          <t>Online Banking</t>
        </is>
      </c>
      <c r="N830" s="4" t="inlineStr">
        <is>
          <t>N</t>
        </is>
      </c>
      <c r="O830" s="4">
        <f>TEXT(D830, "dddd")</f>
        <v/>
      </c>
      <c r="P830" s="4">
        <f>"Q"&amp;ROUNDUP(MONTH(D830)/3, 0)</f>
        <v/>
      </c>
    </row>
    <row r="831">
      <c r="A831" s="7" t="inlineStr">
        <is>
          <t>TXN100834</t>
        </is>
      </c>
      <c r="B831" s="7" t="inlineStr">
        <is>
          <t>CUST0834</t>
        </is>
      </c>
      <c r="C831" s="7" t="inlineStr">
        <is>
          <t>2026-06-01 15:48:00</t>
        </is>
      </c>
      <c r="D831" s="7">
        <f>TEXT(LEFT(C831,10),"YYYY-MM-DD")</f>
        <v/>
      </c>
      <c r="E831" s="8">
        <f>HOUR(C831)</f>
        <v/>
      </c>
      <c r="F831" s="7" t="inlineStr">
        <is>
          <t>Female</t>
        </is>
      </c>
      <c r="G831" s="8" t="n">
        <v>65</v>
      </c>
      <c r="H831" s="7">
        <f>IF(G831&gt;=60, "Boomer", IF(G831&gt;=45, "Gen X", IF(G831&gt;=25, "Millennial", "Gen Z")))</f>
        <v/>
      </c>
      <c r="I831" s="7" t="inlineStr">
        <is>
          <t>Checking</t>
        </is>
      </c>
      <c r="J831" s="7" t="inlineStr">
        <is>
          <t>Travel</t>
        </is>
      </c>
      <c r="K831" s="9" t="n">
        <v>5779.87</v>
      </c>
      <c r="L831" s="9" t="n">
        <v>4571.27</v>
      </c>
      <c r="M831" s="7" t="inlineStr">
        <is>
          <t>ATM</t>
        </is>
      </c>
      <c r="N831" s="7" t="inlineStr">
        <is>
          <t>N</t>
        </is>
      </c>
      <c r="O831" s="7">
        <f>TEXT(D831, "dddd")</f>
        <v/>
      </c>
      <c r="P831" s="7">
        <f>"Q"&amp;ROUNDUP(MONTH(D831)/3, 0)</f>
        <v/>
      </c>
    </row>
    <row r="832">
      <c r="A832" s="4" t="inlineStr">
        <is>
          <t>TXN100835</t>
        </is>
      </c>
      <c r="B832" s="4" t="inlineStr">
        <is>
          <t>CUST0835</t>
        </is>
      </c>
      <c r="C832" s="4" t="inlineStr">
        <is>
          <t>2026-06-01 03:24:00</t>
        </is>
      </c>
      <c r="D832" s="4">
        <f>TEXT(LEFT(C832,10),"YYYY-MM-DD")</f>
        <v/>
      </c>
      <c r="E832" s="5">
        <f>HOUR(C832)</f>
        <v/>
      </c>
      <c r="F832" s="4" t="inlineStr">
        <is>
          <t>Female</t>
        </is>
      </c>
      <c r="G832" s="5" t="n">
        <v>49</v>
      </c>
      <c r="H832" s="4">
        <f>IF(G832&gt;=60, "Boomer", IF(G832&gt;=45, "Gen X", IF(G832&gt;=25, "Millennial", "Gen Z")))</f>
        <v/>
      </c>
      <c r="I832" s="4" t="inlineStr">
        <is>
          <t>Investment</t>
        </is>
      </c>
      <c r="J832" s="4" t="inlineStr">
        <is>
          <t>Entertainment</t>
        </is>
      </c>
      <c r="K832" s="6" t="n">
        <v>5499.5</v>
      </c>
      <c r="L832" s="6" t="n">
        <v>42133.96</v>
      </c>
      <c r="M832" s="4" t="inlineStr">
        <is>
          <t>Online Banking</t>
        </is>
      </c>
      <c r="N832" s="4" t="inlineStr">
        <is>
          <t>N</t>
        </is>
      </c>
      <c r="O832" s="4">
        <f>TEXT(D832, "dddd")</f>
        <v/>
      </c>
      <c r="P832" s="4">
        <f>"Q"&amp;ROUNDUP(MONTH(D832)/3, 0)</f>
        <v/>
      </c>
    </row>
    <row r="833">
      <c r="A833" s="7" t="inlineStr">
        <is>
          <t>TXN100836</t>
        </is>
      </c>
      <c r="B833" s="7" t="inlineStr">
        <is>
          <t>CUST0836</t>
        </is>
      </c>
      <c r="C833" s="7" t="inlineStr">
        <is>
          <t>2026-06-01 17:26:00</t>
        </is>
      </c>
      <c r="D833" s="7">
        <f>TEXT(LEFT(C833,10),"YYYY-MM-DD")</f>
        <v/>
      </c>
      <c r="E833" s="8">
        <f>HOUR(C833)</f>
        <v/>
      </c>
      <c r="F833" s="7" t="inlineStr">
        <is>
          <t>Female</t>
        </is>
      </c>
      <c r="G833" s="8" t="n">
        <v>74</v>
      </c>
      <c r="H833" s="7">
        <f>IF(G833&gt;=60, "Boomer", IF(G833&gt;=45, "Gen X", IF(G833&gt;=25, "Millennial", "Gen Z")))</f>
        <v/>
      </c>
      <c r="I833" s="7" t="inlineStr">
        <is>
          <t>Checking</t>
        </is>
      </c>
      <c r="J833" s="7" t="inlineStr">
        <is>
          <t>Groceries</t>
        </is>
      </c>
      <c r="K833" s="9" t="n">
        <v>6855.62</v>
      </c>
      <c r="L833" s="9" t="n">
        <v>44790.36</v>
      </c>
      <c r="M833" s="7" t="inlineStr">
        <is>
          <t>ATM</t>
        </is>
      </c>
      <c r="N833" s="7" t="inlineStr">
        <is>
          <t>N</t>
        </is>
      </c>
      <c r="O833" s="7">
        <f>TEXT(D833, "dddd")</f>
        <v/>
      </c>
      <c r="P833" s="7">
        <f>"Q"&amp;ROUNDUP(MONTH(D833)/3, 0)</f>
        <v/>
      </c>
    </row>
    <row r="834">
      <c r="A834" s="4" t="inlineStr">
        <is>
          <t>TXN100837</t>
        </is>
      </c>
      <c r="B834" s="4" t="inlineStr">
        <is>
          <t>CUST0837</t>
        </is>
      </c>
      <c r="C834" s="4" t="inlineStr">
        <is>
          <t>2026-06-01 21:23:00</t>
        </is>
      </c>
      <c r="D834" s="4">
        <f>TEXT(LEFT(C834,10),"YYYY-MM-DD")</f>
        <v/>
      </c>
      <c r="E834" s="5">
        <f>HOUR(C834)</f>
        <v/>
      </c>
      <c r="F834" s="4" t="inlineStr">
        <is>
          <t>Male</t>
        </is>
      </c>
      <c r="G834" s="5" t="n">
        <v>20</v>
      </c>
      <c r="H834" s="4">
        <f>IF(G834&gt;=60, "Boomer", IF(G834&gt;=45, "Gen X", IF(G834&gt;=25, "Millennial", "Gen Z")))</f>
        <v/>
      </c>
      <c r="I834" s="4" t="inlineStr">
        <is>
          <t>Investment</t>
        </is>
      </c>
      <c r="J834" s="4" t="inlineStr">
        <is>
          <t>Utilities</t>
        </is>
      </c>
      <c r="K834" s="6" t="n">
        <v>5380.04</v>
      </c>
      <c r="L834" s="6" t="n">
        <v>20120.3</v>
      </c>
      <c r="M834" s="4" t="inlineStr">
        <is>
          <t>Mobile App</t>
        </is>
      </c>
      <c r="N834" s="4" t="inlineStr">
        <is>
          <t>N</t>
        </is>
      </c>
      <c r="O834" s="4">
        <f>TEXT(D834, "dddd")</f>
        <v/>
      </c>
      <c r="P834" s="4">
        <f>"Q"&amp;ROUNDUP(MONTH(D834)/3, 0)</f>
        <v/>
      </c>
    </row>
    <row r="835">
      <c r="A835" s="7" t="inlineStr">
        <is>
          <t>TXN100838</t>
        </is>
      </c>
      <c r="B835" s="7" t="inlineStr">
        <is>
          <t>CUST0838</t>
        </is>
      </c>
      <c r="C835" s="7" t="inlineStr">
        <is>
          <t>2026-06-01 03:09:00</t>
        </is>
      </c>
      <c r="D835" s="7">
        <f>TEXT(LEFT(C835,10),"YYYY-MM-DD")</f>
        <v/>
      </c>
      <c r="E835" s="8">
        <f>HOUR(C835)</f>
        <v/>
      </c>
      <c r="F835" s="7" t="inlineStr">
        <is>
          <t>Unspecified</t>
        </is>
      </c>
      <c r="G835" s="8" t="n">
        <v>45</v>
      </c>
      <c r="H835" s="7">
        <f>IF(G835&gt;=60, "Boomer", IF(G835&gt;=45, "Gen X", IF(G835&gt;=25, "Millennial", "Gen Z")))</f>
        <v/>
      </c>
      <c r="I835" s="7" t="inlineStr">
        <is>
          <t>Investment</t>
        </is>
      </c>
      <c r="J835" s="7" t="inlineStr">
        <is>
          <t>Travel</t>
        </is>
      </c>
      <c r="K835" s="9" t="n">
        <v>7820.79</v>
      </c>
      <c r="L835" s="9" t="n">
        <v>37200.89</v>
      </c>
      <c r="M835" s="7" t="inlineStr">
        <is>
          <t>Online Banking</t>
        </is>
      </c>
      <c r="N835" s="7" t="inlineStr">
        <is>
          <t>N</t>
        </is>
      </c>
      <c r="O835" s="7">
        <f>TEXT(D835, "dddd")</f>
        <v/>
      </c>
      <c r="P835" s="7">
        <f>"Q"&amp;ROUNDUP(MONTH(D835)/3, 0)</f>
        <v/>
      </c>
    </row>
    <row r="836">
      <c r="A836" s="4" t="inlineStr">
        <is>
          <t>TXN100839</t>
        </is>
      </c>
      <c r="B836" s="4" t="inlineStr">
        <is>
          <t>CUST0839</t>
        </is>
      </c>
      <c r="C836" s="4" t="inlineStr">
        <is>
          <t>2026-06-01 06:21:00</t>
        </is>
      </c>
      <c r="D836" s="4">
        <f>TEXT(LEFT(C836,10),"YYYY-MM-DD")</f>
        <v/>
      </c>
      <c r="E836" s="5">
        <f>HOUR(C836)</f>
        <v/>
      </c>
      <c r="F836" s="4" t="inlineStr">
        <is>
          <t>Female</t>
        </is>
      </c>
      <c r="G836" s="5" t="n">
        <v>58</v>
      </c>
      <c r="H836" s="4">
        <f>IF(G836&gt;=60, "Boomer", IF(G836&gt;=45, "Gen X", IF(G836&gt;=25, "Millennial", "Gen Z")))</f>
        <v/>
      </c>
      <c r="I836" s="4" t="inlineStr">
        <is>
          <t>Checking</t>
        </is>
      </c>
      <c r="J836" s="4" t="inlineStr">
        <is>
          <t>Groceries</t>
        </is>
      </c>
      <c r="K836" s="6" t="n">
        <v>1870.63</v>
      </c>
      <c r="L836" s="6" t="n">
        <v>21522.86</v>
      </c>
      <c r="M836" s="4" t="inlineStr">
        <is>
          <t>ATM</t>
        </is>
      </c>
      <c r="N836" s="4" t="inlineStr">
        <is>
          <t>N</t>
        </is>
      </c>
      <c r="O836" s="4">
        <f>TEXT(D836, "dddd")</f>
        <v/>
      </c>
      <c r="P836" s="4">
        <f>"Q"&amp;ROUNDUP(MONTH(D836)/3, 0)</f>
        <v/>
      </c>
    </row>
    <row r="837">
      <c r="A837" s="7" t="inlineStr">
        <is>
          <t>TXN100840</t>
        </is>
      </c>
      <c r="B837" s="7" t="inlineStr">
        <is>
          <t>CUST0840</t>
        </is>
      </c>
      <c r="C837" s="7" t="inlineStr">
        <is>
          <t>2026-06-01 08:48:00</t>
        </is>
      </c>
      <c r="D837" s="7">
        <f>TEXT(LEFT(C837,10),"YYYY-MM-DD")</f>
        <v/>
      </c>
      <c r="E837" s="8">
        <f>HOUR(C837)</f>
        <v/>
      </c>
      <c r="F837" s="7" t="inlineStr">
        <is>
          <t>Female</t>
        </is>
      </c>
      <c r="G837" s="8" t="n">
        <v>68</v>
      </c>
      <c r="H837" s="7">
        <f>IF(G837&gt;=60, "Boomer", IF(G837&gt;=45, "Gen X", IF(G837&gt;=25, "Millennial", "Gen Z")))</f>
        <v/>
      </c>
      <c r="I837" s="7" t="inlineStr">
        <is>
          <t>Investment</t>
        </is>
      </c>
      <c r="J837" s="7" t="inlineStr">
        <is>
          <t>Utilities</t>
        </is>
      </c>
      <c r="K837" s="9" t="n">
        <v>2855.22</v>
      </c>
      <c r="L837" s="9" t="n">
        <v>33500.51</v>
      </c>
      <c r="M837" s="7" t="inlineStr">
        <is>
          <t>ATM</t>
        </is>
      </c>
      <c r="N837" s="7" t="inlineStr">
        <is>
          <t>N</t>
        </is>
      </c>
      <c r="O837" s="7">
        <f>TEXT(D837, "dddd")</f>
        <v/>
      </c>
      <c r="P837" s="7">
        <f>"Q"&amp;ROUNDUP(MONTH(D837)/3, 0)</f>
        <v/>
      </c>
    </row>
    <row r="838">
      <c r="A838" s="4" t="inlineStr">
        <is>
          <t>TXN100841</t>
        </is>
      </c>
      <c r="B838" s="4" t="inlineStr">
        <is>
          <t>CUST0841</t>
        </is>
      </c>
      <c r="C838" s="4" t="inlineStr">
        <is>
          <t>2026-06-01 15:32:00</t>
        </is>
      </c>
      <c r="D838" s="4">
        <f>TEXT(LEFT(C838,10),"YYYY-MM-DD")</f>
        <v/>
      </c>
      <c r="E838" s="5">
        <f>HOUR(C838)</f>
        <v/>
      </c>
      <c r="F838" s="4" t="inlineStr">
        <is>
          <t>Female</t>
        </is>
      </c>
      <c r="G838" s="5" t="n">
        <v>29</v>
      </c>
      <c r="H838" s="4">
        <f>IF(G838&gt;=60, "Boomer", IF(G838&gt;=45, "Gen X", IF(G838&gt;=25, "Millennial", "Gen Z")))</f>
        <v/>
      </c>
      <c r="I838" s="4" t="inlineStr">
        <is>
          <t>Checking</t>
        </is>
      </c>
      <c r="J838" s="4" t="inlineStr">
        <is>
          <t>Groceries</t>
        </is>
      </c>
      <c r="K838" s="6" t="n">
        <v>986.3</v>
      </c>
      <c r="L838" s="6" t="n">
        <v>24722.4</v>
      </c>
      <c r="M838" s="4" t="inlineStr">
        <is>
          <t>Online Banking</t>
        </is>
      </c>
      <c r="N838" s="4" t="inlineStr">
        <is>
          <t>N</t>
        </is>
      </c>
      <c r="O838" s="4">
        <f>TEXT(D838, "dddd")</f>
        <v/>
      </c>
      <c r="P838" s="4">
        <f>"Q"&amp;ROUNDUP(MONTH(D838)/3, 0)</f>
        <v/>
      </c>
    </row>
    <row r="839">
      <c r="A839" s="7" t="inlineStr">
        <is>
          <t>TXN100842</t>
        </is>
      </c>
      <c r="B839" s="7" t="inlineStr">
        <is>
          <t>CUST0842</t>
        </is>
      </c>
      <c r="C839" s="7" t="inlineStr">
        <is>
          <t>2026-06-01 20:08:00</t>
        </is>
      </c>
      <c r="D839" s="7">
        <f>TEXT(LEFT(C839,10),"YYYY-MM-DD")</f>
        <v/>
      </c>
      <c r="E839" s="8">
        <f>HOUR(C839)</f>
        <v/>
      </c>
      <c r="F839" s="7" t="inlineStr">
        <is>
          <t>Male</t>
        </is>
      </c>
      <c r="G839" s="8" t="n">
        <v>26</v>
      </c>
      <c r="H839" s="7">
        <f>IF(G839&gt;=60, "Boomer", IF(G839&gt;=45, "Gen X", IF(G839&gt;=25, "Millennial", "Gen Z")))</f>
        <v/>
      </c>
      <c r="I839" s="7" t="inlineStr">
        <is>
          <t>Investment</t>
        </is>
      </c>
      <c r="J839" s="7" t="inlineStr">
        <is>
          <t>Groceries</t>
        </is>
      </c>
      <c r="K839" s="9" t="n">
        <v>6644.2</v>
      </c>
      <c r="L839" s="9" t="n">
        <v>25157.68</v>
      </c>
      <c r="M839" s="7" t="inlineStr">
        <is>
          <t>Mobile App</t>
        </is>
      </c>
      <c r="N839" s="7" t="inlineStr">
        <is>
          <t>N</t>
        </is>
      </c>
      <c r="O839" s="7">
        <f>TEXT(D839, "dddd")</f>
        <v/>
      </c>
      <c r="P839" s="7">
        <f>"Q"&amp;ROUNDUP(MONTH(D839)/3, 0)</f>
        <v/>
      </c>
    </row>
    <row r="840">
      <c r="A840" s="4" t="inlineStr">
        <is>
          <t>TXN100843</t>
        </is>
      </c>
      <c r="B840" s="4" t="inlineStr">
        <is>
          <t>CUST0843</t>
        </is>
      </c>
      <c r="C840" s="4" t="inlineStr">
        <is>
          <t>2026-06-01 05:24:00</t>
        </is>
      </c>
      <c r="D840" s="4">
        <f>TEXT(LEFT(C840,10),"YYYY-MM-DD")</f>
        <v/>
      </c>
      <c r="E840" s="5">
        <f>HOUR(C840)</f>
        <v/>
      </c>
      <c r="F840" s="4" t="inlineStr">
        <is>
          <t>Female</t>
        </is>
      </c>
      <c r="G840" s="5" t="n">
        <v>29</v>
      </c>
      <c r="H840" s="4">
        <f>IF(G840&gt;=60, "Boomer", IF(G840&gt;=45, "Gen X", IF(G840&gt;=25, "Millennial", "Gen Z")))</f>
        <v/>
      </c>
      <c r="I840" s="4" t="inlineStr">
        <is>
          <t>Checking</t>
        </is>
      </c>
      <c r="J840" s="4" t="inlineStr">
        <is>
          <t>Travel</t>
        </is>
      </c>
      <c r="K840" s="6" t="n">
        <v>4989.63</v>
      </c>
      <c r="L840" s="6" t="n">
        <v>38128.49</v>
      </c>
      <c r="M840" s="4" t="inlineStr">
        <is>
          <t>ATM</t>
        </is>
      </c>
      <c r="N840" s="4" t="inlineStr">
        <is>
          <t>N</t>
        </is>
      </c>
      <c r="O840" s="4">
        <f>TEXT(D840, "dddd")</f>
        <v/>
      </c>
      <c r="P840" s="4">
        <f>"Q"&amp;ROUNDUP(MONTH(D840)/3, 0)</f>
        <v/>
      </c>
    </row>
    <row r="841">
      <c r="A841" s="7" t="inlineStr">
        <is>
          <t>TXN100844</t>
        </is>
      </c>
      <c r="B841" s="7" t="inlineStr">
        <is>
          <t>CUST0844</t>
        </is>
      </c>
      <c r="C841" s="7" t="inlineStr">
        <is>
          <t>2026-06-01 14:12:00</t>
        </is>
      </c>
      <c r="D841" s="7">
        <f>TEXT(LEFT(C841,10),"YYYY-MM-DD")</f>
        <v/>
      </c>
      <c r="E841" s="8">
        <f>HOUR(C841)</f>
        <v/>
      </c>
      <c r="F841" s="7" t="inlineStr">
        <is>
          <t>Female</t>
        </is>
      </c>
      <c r="G841" s="8" t="n">
        <v>62</v>
      </c>
      <c r="H841" s="7">
        <f>IF(G841&gt;=60, "Boomer", IF(G841&gt;=45, "Gen X", IF(G841&gt;=25, "Millennial", "Gen Z")))</f>
        <v/>
      </c>
      <c r="I841" s="7" t="inlineStr">
        <is>
          <t>Checking</t>
        </is>
      </c>
      <c r="J841" s="7" t="inlineStr">
        <is>
          <t>Utilities</t>
        </is>
      </c>
      <c r="K841" s="9" t="n">
        <v>4043.31</v>
      </c>
      <c r="L841" s="9" t="n">
        <v>27350.69</v>
      </c>
      <c r="M841" s="7" t="inlineStr">
        <is>
          <t>Mobile App</t>
        </is>
      </c>
      <c r="N841" s="7" t="inlineStr">
        <is>
          <t>N</t>
        </is>
      </c>
      <c r="O841" s="7">
        <f>TEXT(D841, "dddd")</f>
        <v/>
      </c>
      <c r="P841" s="7">
        <f>"Q"&amp;ROUNDUP(MONTH(D841)/3, 0)</f>
        <v/>
      </c>
    </row>
    <row r="842">
      <c r="A842" s="4" t="inlineStr">
        <is>
          <t>TXN100845</t>
        </is>
      </c>
      <c r="B842" s="4" t="inlineStr">
        <is>
          <t>CUST0845</t>
        </is>
      </c>
      <c r="C842" s="4" t="inlineStr">
        <is>
          <t>2026-06-01 01:27:00</t>
        </is>
      </c>
      <c r="D842" s="4">
        <f>TEXT(LEFT(C842,10),"YYYY-MM-DD")</f>
        <v/>
      </c>
      <c r="E842" s="5">
        <f>HOUR(C842)</f>
        <v/>
      </c>
      <c r="F842" s="4" t="inlineStr">
        <is>
          <t>Male</t>
        </is>
      </c>
      <c r="G842" s="5" t="n">
        <v>44</v>
      </c>
      <c r="H842" s="4">
        <f>IF(G842&gt;=60, "Boomer", IF(G842&gt;=45, "Gen X", IF(G842&gt;=25, "Millennial", "Gen Z")))</f>
        <v/>
      </c>
      <c r="I842" s="4" t="inlineStr">
        <is>
          <t>Checking</t>
        </is>
      </c>
      <c r="J842" s="4" t="inlineStr">
        <is>
          <t>Entertainment</t>
        </is>
      </c>
      <c r="K842" s="6" t="n">
        <v>6824.47</v>
      </c>
      <c r="L842" s="6" t="n">
        <v>22406.53</v>
      </c>
      <c r="M842" s="4" t="inlineStr">
        <is>
          <t>Mobile App</t>
        </is>
      </c>
      <c r="N842" s="4" t="inlineStr">
        <is>
          <t>N</t>
        </is>
      </c>
      <c r="O842" s="4">
        <f>TEXT(D842, "dddd")</f>
        <v/>
      </c>
      <c r="P842" s="4">
        <f>"Q"&amp;ROUNDUP(MONTH(D842)/3, 0)</f>
        <v/>
      </c>
    </row>
    <row r="843">
      <c r="A843" s="7" t="inlineStr">
        <is>
          <t>TXN100846</t>
        </is>
      </c>
      <c r="B843" s="7" t="inlineStr">
        <is>
          <t>CUST0846</t>
        </is>
      </c>
      <c r="C843" s="7" t="inlineStr">
        <is>
          <t>2026-06-01 01:11:00</t>
        </is>
      </c>
      <c r="D843" s="7">
        <f>TEXT(LEFT(C843,10),"YYYY-MM-DD")</f>
        <v/>
      </c>
      <c r="E843" s="8">
        <f>HOUR(C843)</f>
        <v/>
      </c>
      <c r="F843" s="7" t="inlineStr">
        <is>
          <t>Female</t>
        </is>
      </c>
      <c r="G843" s="8" t="n">
        <v>65</v>
      </c>
      <c r="H843" s="7">
        <f>IF(G843&gt;=60, "Boomer", IF(G843&gt;=45, "Gen X", IF(G843&gt;=25, "Millennial", "Gen Z")))</f>
        <v/>
      </c>
      <c r="I843" s="7" t="inlineStr">
        <is>
          <t>Savings</t>
        </is>
      </c>
      <c r="J843" s="7" t="inlineStr">
        <is>
          <t>Utilities</t>
        </is>
      </c>
      <c r="K843" s="9" t="n">
        <v>3451.14</v>
      </c>
      <c r="L843" s="9" t="n">
        <v>15966.75</v>
      </c>
      <c r="M843" s="7" t="inlineStr">
        <is>
          <t>ATM</t>
        </is>
      </c>
      <c r="N843" s="7" t="inlineStr">
        <is>
          <t>N</t>
        </is>
      </c>
      <c r="O843" s="7">
        <f>TEXT(D843, "dddd")</f>
        <v/>
      </c>
      <c r="P843" s="7">
        <f>"Q"&amp;ROUNDUP(MONTH(D843)/3, 0)</f>
        <v/>
      </c>
    </row>
    <row r="844">
      <c r="A844" s="4" t="inlineStr">
        <is>
          <t>TXN100847</t>
        </is>
      </c>
      <c r="B844" s="4" t="inlineStr">
        <is>
          <t>CUST0847</t>
        </is>
      </c>
      <c r="C844" s="4" t="inlineStr">
        <is>
          <t>2026-06-01 15:48:00</t>
        </is>
      </c>
      <c r="D844" s="4">
        <f>TEXT(LEFT(C844,10),"YYYY-MM-DD")</f>
        <v/>
      </c>
      <c r="E844" s="5">
        <f>HOUR(C844)</f>
        <v/>
      </c>
      <c r="F844" s="4" t="inlineStr">
        <is>
          <t>Male</t>
        </is>
      </c>
      <c r="G844" s="5" t="n">
        <v>56</v>
      </c>
      <c r="H844" s="4">
        <f>IF(G844&gt;=60, "Boomer", IF(G844&gt;=45, "Gen X", IF(G844&gt;=25, "Millennial", "Gen Z")))</f>
        <v/>
      </c>
      <c r="I844" s="4" t="inlineStr">
        <is>
          <t>Investment</t>
        </is>
      </c>
      <c r="J844" s="4" t="inlineStr">
        <is>
          <t>Utilities</t>
        </is>
      </c>
      <c r="K844" s="6" t="n">
        <v>5284.03</v>
      </c>
      <c r="L844" s="6" t="n">
        <v>34426.02</v>
      </c>
      <c r="M844" s="4" t="inlineStr">
        <is>
          <t>ATM</t>
        </is>
      </c>
      <c r="N844" s="4" t="inlineStr">
        <is>
          <t>N</t>
        </is>
      </c>
      <c r="O844" s="4">
        <f>TEXT(D844, "dddd")</f>
        <v/>
      </c>
      <c r="P844" s="4">
        <f>"Q"&amp;ROUNDUP(MONTH(D844)/3, 0)</f>
        <v/>
      </c>
    </row>
    <row r="845">
      <c r="A845" s="7" t="inlineStr">
        <is>
          <t>TXN100848</t>
        </is>
      </c>
      <c r="B845" s="7" t="inlineStr">
        <is>
          <t>CUST0848</t>
        </is>
      </c>
      <c r="C845" s="7" t="inlineStr">
        <is>
          <t>2026-06-01 15:35:00</t>
        </is>
      </c>
      <c r="D845" s="7">
        <f>TEXT(LEFT(C845,10),"YYYY-MM-DD")</f>
        <v/>
      </c>
      <c r="E845" s="8">
        <f>HOUR(C845)</f>
        <v/>
      </c>
      <c r="F845" s="7" t="inlineStr">
        <is>
          <t>Male</t>
        </is>
      </c>
      <c r="G845" s="8" t="n">
        <v>52</v>
      </c>
      <c r="H845" s="7">
        <f>IF(G845&gt;=60, "Boomer", IF(G845&gt;=45, "Gen X", IF(G845&gt;=25, "Millennial", "Gen Z")))</f>
        <v/>
      </c>
      <c r="I845" s="7" t="inlineStr">
        <is>
          <t>Savings</t>
        </is>
      </c>
      <c r="J845" s="7" t="inlineStr">
        <is>
          <t>Utilities</t>
        </is>
      </c>
      <c r="K845" s="9" t="n">
        <v>2114.49</v>
      </c>
      <c r="L845" s="9" t="n">
        <v>29756.73</v>
      </c>
      <c r="M845" s="7" t="inlineStr">
        <is>
          <t>ATM</t>
        </is>
      </c>
      <c r="N845" s="7" t="inlineStr">
        <is>
          <t>N</t>
        </is>
      </c>
      <c r="O845" s="7">
        <f>TEXT(D845, "dddd")</f>
        <v/>
      </c>
      <c r="P845" s="7">
        <f>"Q"&amp;ROUNDUP(MONTH(D845)/3, 0)</f>
        <v/>
      </c>
    </row>
    <row r="846">
      <c r="A846" s="4" t="inlineStr">
        <is>
          <t>TXN100849</t>
        </is>
      </c>
      <c r="B846" s="4" t="inlineStr">
        <is>
          <t>CUST0849</t>
        </is>
      </c>
      <c r="C846" s="4" t="inlineStr">
        <is>
          <t>2026-06-01 19:43:00</t>
        </is>
      </c>
      <c r="D846" s="4">
        <f>TEXT(LEFT(C846,10),"YYYY-MM-DD")</f>
        <v/>
      </c>
      <c r="E846" s="5">
        <f>HOUR(C846)</f>
        <v/>
      </c>
      <c r="F846" s="4" t="inlineStr">
        <is>
          <t>Female</t>
        </is>
      </c>
      <c r="G846" s="5" t="n">
        <v>69</v>
      </c>
      <c r="H846" s="4">
        <f>IF(G846&gt;=60, "Boomer", IF(G846&gt;=45, "Gen X", IF(G846&gt;=25, "Millennial", "Gen Z")))</f>
        <v/>
      </c>
      <c r="I846" s="4" t="inlineStr">
        <is>
          <t>Checking</t>
        </is>
      </c>
      <c r="J846" s="4" t="inlineStr">
        <is>
          <t>Entertainment</t>
        </is>
      </c>
      <c r="K846" s="6" t="n">
        <v>500.78</v>
      </c>
      <c r="L846" s="6" t="n">
        <v>29727.94</v>
      </c>
      <c r="M846" s="4" t="inlineStr">
        <is>
          <t>Online Banking</t>
        </is>
      </c>
      <c r="N846" s="4" t="inlineStr">
        <is>
          <t>N</t>
        </is>
      </c>
      <c r="O846" s="4">
        <f>TEXT(D846, "dddd")</f>
        <v/>
      </c>
      <c r="P846" s="4">
        <f>"Q"&amp;ROUNDUP(MONTH(D846)/3, 0)</f>
        <v/>
      </c>
    </row>
    <row r="847">
      <c r="A847" s="7" t="inlineStr">
        <is>
          <t>TXN100850</t>
        </is>
      </c>
      <c r="B847" s="7" t="inlineStr">
        <is>
          <t>CUST0850</t>
        </is>
      </c>
      <c r="C847" s="7" t="inlineStr">
        <is>
          <t>2026-06-01 11:22:00</t>
        </is>
      </c>
      <c r="D847" s="7">
        <f>TEXT(LEFT(C847,10),"YYYY-MM-DD")</f>
        <v/>
      </c>
      <c r="E847" s="8">
        <f>HOUR(C847)</f>
        <v/>
      </c>
      <c r="F847" s="7" t="inlineStr">
        <is>
          <t>Male</t>
        </is>
      </c>
      <c r="G847" s="8" t="n">
        <v>68</v>
      </c>
      <c r="H847" s="7">
        <f>IF(G847&gt;=60, "Boomer", IF(G847&gt;=45, "Gen X", IF(G847&gt;=25, "Millennial", "Gen Z")))</f>
        <v/>
      </c>
      <c r="I847" s="7" t="inlineStr">
        <is>
          <t>Investment</t>
        </is>
      </c>
      <c r="J847" s="7" t="inlineStr">
        <is>
          <t>Entertainment</t>
        </is>
      </c>
      <c r="K847" s="9" t="n">
        <v>3050.78</v>
      </c>
      <c r="L847" s="9" t="n">
        <v>21693.34</v>
      </c>
      <c r="M847" s="7" t="inlineStr">
        <is>
          <t>Branch Office</t>
        </is>
      </c>
      <c r="N847" s="7" t="inlineStr">
        <is>
          <t>N</t>
        </is>
      </c>
      <c r="O847" s="7">
        <f>TEXT(D847, "dddd")</f>
        <v/>
      </c>
      <c r="P847" s="7">
        <f>"Q"&amp;ROUNDUP(MONTH(D847)/3, 0)</f>
        <v/>
      </c>
    </row>
    <row r="848">
      <c r="A848" s="4" t="inlineStr">
        <is>
          <t>TXN100851</t>
        </is>
      </c>
      <c r="B848" s="4" t="inlineStr">
        <is>
          <t>CUST0851</t>
        </is>
      </c>
      <c r="C848" s="4" t="inlineStr">
        <is>
          <t>2026-06-01 13:22:00</t>
        </is>
      </c>
      <c r="D848" s="4">
        <f>TEXT(LEFT(C848,10),"YYYY-MM-DD")</f>
        <v/>
      </c>
      <c r="E848" s="5">
        <f>HOUR(C848)</f>
        <v/>
      </c>
      <c r="F848" s="4" t="inlineStr">
        <is>
          <t>Male</t>
        </is>
      </c>
      <c r="G848" s="5" t="n">
        <v>62</v>
      </c>
      <c r="H848" s="4">
        <f>IF(G848&gt;=60, "Boomer", IF(G848&gt;=45, "Gen X", IF(G848&gt;=25, "Millennial", "Gen Z")))</f>
        <v/>
      </c>
      <c r="I848" s="4" t="inlineStr">
        <is>
          <t>Savings</t>
        </is>
      </c>
      <c r="J848" s="4" t="inlineStr">
        <is>
          <t>Groceries</t>
        </is>
      </c>
      <c r="K848" s="6" t="n">
        <v>1884.63</v>
      </c>
      <c r="L848" s="6" t="n">
        <v>15948.93</v>
      </c>
      <c r="M848" s="4" t="inlineStr">
        <is>
          <t>Mobile App</t>
        </is>
      </c>
      <c r="N848" s="4" t="inlineStr">
        <is>
          <t>N</t>
        </is>
      </c>
      <c r="O848" s="4">
        <f>TEXT(D848, "dddd")</f>
        <v/>
      </c>
      <c r="P848" s="4">
        <f>"Q"&amp;ROUNDUP(MONTH(D848)/3, 0)</f>
        <v/>
      </c>
    </row>
    <row r="849">
      <c r="A849" s="7" t="inlineStr">
        <is>
          <t>TXN100852</t>
        </is>
      </c>
      <c r="B849" s="7" t="inlineStr">
        <is>
          <t>CUST0852</t>
        </is>
      </c>
      <c r="C849" s="7" t="inlineStr">
        <is>
          <t>2026-06-01 22:04:00</t>
        </is>
      </c>
      <c r="D849" s="7">
        <f>TEXT(LEFT(C849,10),"YYYY-MM-DD")</f>
        <v/>
      </c>
      <c r="E849" s="8">
        <f>HOUR(C849)</f>
        <v/>
      </c>
      <c r="F849" s="7" t="inlineStr">
        <is>
          <t>Female</t>
        </is>
      </c>
      <c r="G849" s="8" t="n">
        <v>27</v>
      </c>
      <c r="H849" s="7">
        <f>IF(G849&gt;=60, "Boomer", IF(G849&gt;=45, "Gen X", IF(G849&gt;=25, "Millennial", "Gen Z")))</f>
        <v/>
      </c>
      <c r="I849" s="7" t="inlineStr">
        <is>
          <t>Checking</t>
        </is>
      </c>
      <c r="J849" s="7" t="inlineStr">
        <is>
          <t>Groceries</t>
        </is>
      </c>
      <c r="K849" s="9" t="n">
        <v>167.5</v>
      </c>
      <c r="L849" s="9" t="n">
        <v>16642.78</v>
      </c>
      <c r="M849" s="7" t="inlineStr">
        <is>
          <t>ATM</t>
        </is>
      </c>
      <c r="N849" s="7" t="inlineStr">
        <is>
          <t>N</t>
        </is>
      </c>
      <c r="O849" s="7">
        <f>TEXT(D849, "dddd")</f>
        <v/>
      </c>
      <c r="P849" s="7">
        <f>"Q"&amp;ROUNDUP(MONTH(D849)/3, 0)</f>
        <v/>
      </c>
    </row>
    <row r="850">
      <c r="A850" s="4" t="inlineStr">
        <is>
          <t>TXN100853</t>
        </is>
      </c>
      <c r="B850" s="4" t="inlineStr">
        <is>
          <t>CUST0853</t>
        </is>
      </c>
      <c r="C850" s="4" t="inlineStr">
        <is>
          <t>2026-06-01 21:55:00</t>
        </is>
      </c>
      <c r="D850" s="4">
        <f>TEXT(LEFT(C850,10),"YYYY-MM-DD")</f>
        <v/>
      </c>
      <c r="E850" s="5">
        <f>HOUR(C850)</f>
        <v/>
      </c>
      <c r="F850" s="4" t="inlineStr">
        <is>
          <t>Unspecified</t>
        </is>
      </c>
      <c r="G850" s="5" t="n">
        <v>56</v>
      </c>
      <c r="H850" s="4">
        <f>IF(G850&gt;=60, "Boomer", IF(G850&gt;=45, "Gen X", IF(G850&gt;=25, "Millennial", "Gen Z")))</f>
        <v/>
      </c>
      <c r="I850" s="4" t="inlineStr">
        <is>
          <t>Investment</t>
        </is>
      </c>
      <c r="J850" s="4" t="inlineStr">
        <is>
          <t>Utilities</t>
        </is>
      </c>
      <c r="K850" s="6" t="n">
        <v>2140.28</v>
      </c>
      <c r="L850" s="6" t="n">
        <v>34949.94</v>
      </c>
      <c r="M850" s="4" t="inlineStr">
        <is>
          <t>Mobile App</t>
        </is>
      </c>
      <c r="N850" s="4" t="inlineStr">
        <is>
          <t>N</t>
        </is>
      </c>
      <c r="O850" s="4">
        <f>TEXT(D850, "dddd")</f>
        <v/>
      </c>
      <c r="P850" s="4">
        <f>"Q"&amp;ROUNDUP(MONTH(D850)/3, 0)</f>
        <v/>
      </c>
    </row>
    <row r="851">
      <c r="A851" s="7" t="inlineStr">
        <is>
          <t>TXN100854</t>
        </is>
      </c>
      <c r="B851" s="7" t="inlineStr">
        <is>
          <t>CUST0854</t>
        </is>
      </c>
      <c r="C851" s="7" t="inlineStr">
        <is>
          <t>2026-06-01 10:24:00</t>
        </is>
      </c>
      <c r="D851" s="7">
        <f>TEXT(LEFT(C851,10),"YYYY-MM-DD")</f>
        <v/>
      </c>
      <c r="E851" s="8">
        <f>HOUR(C851)</f>
        <v/>
      </c>
      <c r="F851" s="7" t="inlineStr">
        <is>
          <t>Unspecified</t>
        </is>
      </c>
      <c r="G851" s="8" t="n">
        <v>40</v>
      </c>
      <c r="H851" s="7">
        <f>IF(G851&gt;=60, "Boomer", IF(G851&gt;=45, "Gen X", IF(G851&gt;=25, "Millennial", "Gen Z")))</f>
        <v/>
      </c>
      <c r="I851" s="7" t="inlineStr">
        <is>
          <t>Investment</t>
        </is>
      </c>
      <c r="J851" s="7" t="inlineStr">
        <is>
          <t>Groceries</t>
        </is>
      </c>
      <c r="K851" s="9" t="n">
        <v>6468.53</v>
      </c>
      <c r="L851" s="9" t="n">
        <v>5452.81</v>
      </c>
      <c r="M851" s="7" t="inlineStr">
        <is>
          <t>Online Banking</t>
        </is>
      </c>
      <c r="N851" s="7" t="inlineStr">
        <is>
          <t>N</t>
        </is>
      </c>
      <c r="O851" s="7">
        <f>TEXT(D851, "dddd")</f>
        <v/>
      </c>
      <c r="P851" s="7">
        <f>"Q"&amp;ROUNDUP(MONTH(D851)/3,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23" customWidth="1" min="3" max="3"/>
    <col width="23" customWidth="1" min="4" max="4"/>
    <col width="25" customWidth="1" min="5" max="5"/>
    <col width="12" customWidth="1" min="6" max="6"/>
    <col width="25" customWidth="1" min="7" max="7"/>
    <col width="12" customWidth="1" min="8" max="8"/>
  </cols>
  <sheetData>
    <row r="1">
      <c r="A1" s="10" t="inlineStr">
        <is>
          <t>FINANCIAL PERFORMANCE &amp; COMPLIANCE LEDGER</t>
        </is>
      </c>
    </row>
    <row r="2"/>
    <row r="3"/>
    <row r="4">
      <c r="A4" s="11" t="inlineStr">
        <is>
          <t>TOTAL TRANSACTION VOLUME</t>
        </is>
      </c>
      <c r="C4" s="11" t="inlineStr">
        <is>
          <t>AVERAGE TICKET SIZE</t>
        </is>
      </c>
      <c r="E4" s="11" t="inlineStr">
        <is>
          <t>MAX TRANSACTION VALUE</t>
        </is>
      </c>
      <c r="G4" s="11" t="inlineStr">
        <is>
          <t>MIN TRANSACTION VALUE</t>
        </is>
      </c>
    </row>
    <row r="5">
      <c r="A5" s="12">
        <f>SUM(CleanedTransactions[Amount_USD])</f>
        <v/>
      </c>
      <c r="B5" s="13" t="n"/>
      <c r="C5" s="12">
        <f>AVERAGE(CleanedTransactions[Amount_USD])</f>
        <v/>
      </c>
      <c r="D5" s="13" t="n"/>
      <c r="E5" s="12">
        <f>MAX(CleanedTransactions[Amount_USD])</f>
        <v/>
      </c>
      <c r="F5" s="13" t="n"/>
      <c r="G5" s="12">
        <f>MIN(CleanedTransactions[Amount_USD])</f>
        <v/>
      </c>
      <c r="H5" s="13" t="n"/>
    </row>
    <row r="6"/>
    <row r="7">
      <c r="A7" s="14" t="inlineStr">
        <is>
          <t>METRIC PROFILE AUDIT LABELS</t>
        </is>
      </c>
      <c r="D7" s="14" t="inlineStr">
        <is>
          <t>LIVE SYSTEM OUTPUTS</t>
        </is>
      </c>
    </row>
    <row r="8">
      <c r="A8" s="15" t="inlineStr">
        <is>
          <t>Absolute Count (Valid Rows)</t>
        </is>
      </c>
      <c r="D8" s="16">
        <f>COUNTA(CleanedTransactions[Transaction_ID])</f>
        <v/>
      </c>
    </row>
    <row r="9">
      <c r="A9" s="15" t="inlineStr">
        <is>
          <t>Count Active Customer Entities</t>
        </is>
      </c>
      <c r="D9" s="16">
        <f>COUNTIF(CleanedTransactions[Flagged_Fraud], "N")</f>
        <v/>
      </c>
    </row>
    <row r="10">
      <c r="A10" s="15" t="inlineStr">
        <is>
          <t>Average Consumer Age</t>
        </is>
      </c>
      <c r="D10" s="17">
        <f>AVERAGE(CleanedTransactions[Cust_Age])</f>
        <v/>
      </c>
    </row>
    <row r="11">
      <c r="A11" s="15" t="inlineStr">
        <is>
          <t>Youngest Account Holder</t>
        </is>
      </c>
      <c r="D11" s="18">
        <f>MIN(CleanedTransactions[Cust_Age])</f>
        <v/>
      </c>
    </row>
    <row r="12">
      <c r="A12" s="15" t="inlineStr">
        <is>
          <t>Oldest Account Holder</t>
        </is>
      </c>
      <c r="D12" s="18">
        <f>MAX(CleanedTransactions[Cust_Age])</f>
        <v/>
      </c>
    </row>
    <row r="13">
      <c r="A13" s="15" t="inlineStr">
        <is>
          <t>Savings Account Aggregation Volume</t>
        </is>
      </c>
      <c r="D13" s="19">
        <f>SUMIF(CleanedTransactions[Account_Type], "Savings", CleanedTransactions[Amount_USD])</f>
        <v/>
      </c>
    </row>
    <row r="14">
      <c r="A14" s="15" t="inlineStr">
        <is>
          <t>Withdrawal Aggregation (Travel Category)</t>
        </is>
      </c>
      <c r="D14" s="19">
        <f>SUMIF(CleanedTransactions[Category], "Travel", CleanedTransactions[Amount_USD])</f>
        <v/>
      </c>
    </row>
    <row r="15">
      <c r="A15" s="15" t="inlineStr">
        <is>
          <t>Deposit Aggregation Volume</t>
        </is>
      </c>
      <c r="D15" s="19">
        <f>SUMIF(CleanedTransactions[Account_Type], "Checking", CleanedTransactions[Amount_USD])</f>
        <v/>
      </c>
    </row>
    <row r="16">
      <c r="A16" s="15" t="inlineStr">
        <is>
          <t>Branch Office Performance Count</t>
        </is>
      </c>
      <c r="D16" s="16">
        <f>COUNTIF(CleanedTransactions[Channel], "Branch Office")</f>
        <v/>
      </c>
    </row>
    <row r="17">
      <c r="A17" s="15" t="inlineStr">
        <is>
          <t>ATM Liquidity Movement Volume</t>
        </is>
      </c>
      <c r="D17" s="19">
        <f>SUMIF(CleanedTransactions[Channel], "ATM", CleanedTransactions[Amount_USD])</f>
        <v/>
      </c>
    </row>
    <row r="18">
      <c r="A18" s="15" t="inlineStr">
        <is>
          <t>Mobile App Smartphone Count</t>
        </is>
      </c>
      <c r="D18" s="16">
        <f>COUNTIF(CleanedTransactions[Channel], "Mobile App")</f>
        <v/>
      </c>
    </row>
    <row r="19">
      <c r="A19" s="15" t="inlineStr">
        <is>
          <t>High-Value Threshold Count (&gt; $5,000)</t>
        </is>
      </c>
      <c r="D19" s="16">
        <f>COUNTIF(CleanedTransactions[Amount_USD], "&gt;5000")</f>
        <v/>
      </c>
    </row>
    <row r="20">
      <c r="A20" s="15" t="inlineStr">
        <is>
          <t>Low-Value Household Tracking (&lt; $50)</t>
        </is>
      </c>
      <c r="D20" s="16">
        <f>COUNTIF(CleanedTransactions[Amount_USD], "&lt;50")</f>
        <v/>
      </c>
    </row>
    <row r="21">
      <c r="A21" s="15" t="inlineStr">
        <is>
          <t>Multi-Condition Segment Summing (Ages &gt; 50 Entertainment)</t>
        </is>
      </c>
      <c r="D21" s="19">
        <f>SUMIFS(CleanedTransactions[Amount_USD], CleanedTransactions[Cust_Age], "&gt;50", CleanedTransactions[Category], "Entertainment")</f>
        <v/>
      </c>
    </row>
    <row r="22">
      <c r="A22" s="15" t="inlineStr">
        <is>
          <t>Gendered Spending Analysis (Female)</t>
        </is>
      </c>
      <c r="D22" s="19">
        <f>SUMIFS(CleanedTransactions[Amount_USD], CleanedTransactions[Cust_Gender], "Female")</f>
        <v/>
      </c>
    </row>
    <row r="23">
      <c r="A23" s="15" t="inlineStr">
        <is>
          <t>Targeted Operational Counts (Transfer &gt; $2,500)</t>
        </is>
      </c>
      <c r="D23" s="16">
        <f>COUNTIFS(CleanedTransactions[Category], "Travel", CleanedTransactions[Amount_USD], "&gt;2500")</f>
        <v/>
      </c>
    </row>
    <row r="24">
      <c r="A24" s="15" t="inlineStr">
        <is>
          <t>Young Adult Activity Count (Ages 18-25)</t>
        </is>
      </c>
      <c r="D24" s="16">
        <f>COUNTIFS(CleanedTransactions[Cust_Age], "&gt;=18", CleanedTransactions[Cust_Age], "&lt;=25")</f>
        <v/>
      </c>
    </row>
    <row r="25">
      <c r="A25" s="15" t="inlineStr">
        <is>
          <t>Multi-Channel Fraud Cross (Online + Fraud)</t>
        </is>
      </c>
      <c r="D25" s="19">
        <f>SUMIFS(CleanedTransactions[Amount_USD], CleanedTransactions[Channel], "Online Banking", CleanedTransactions[Flagged_Fraud], "Y")</f>
        <v/>
      </c>
    </row>
    <row r="26">
      <c r="A26" s="15" t="inlineStr">
        <is>
          <t>Average Mobile Ticket Size</t>
        </is>
      </c>
      <c r="D26" s="19">
        <f>AVERAGEIF(CleanedTransactions[Channel], "Mobile App", CleanedTransactions[Amount_USD])</f>
        <v/>
      </c>
    </row>
    <row r="27">
      <c r="A27" s="15" t="inlineStr">
        <is>
          <t>Average Senior Citizen Balance (Age &gt;= 60)</t>
        </is>
      </c>
      <c r="D27" s="19">
        <f>AVERAGEIFS(CleanedTransactions[Post_Transaction_Balance], CleanedTransactions[Cust_Age], "&gt;=60")</f>
        <v/>
      </c>
    </row>
    <row r="28">
      <c r="A28" s="15" t="inlineStr">
        <is>
          <t>Groceries Volume Check (Savings Account)</t>
        </is>
      </c>
      <c r="D28" s="19">
        <f>SUMIFS(CleanedTransactions[Amount_USD], CleanedTransactions[Category], "Groceries", CleanedTransactions[Account_Type], "Savings")</f>
        <v/>
      </c>
    </row>
    <row r="29">
      <c r="A29" s="15" t="inlineStr">
        <is>
          <t>Atm Withdrawal Aggregation (&gt; $500)</t>
        </is>
      </c>
      <c r="D29" s="19">
        <f>SUMIFS(CleanedTransactions[Amount_USD], CleanedTransactions[Channel], "ATM", CleanedTransactions[Amount_USD], "&gt;500")</f>
        <v/>
      </c>
    </row>
    <row r="30">
      <c r="A30" s="15" t="inlineStr">
        <is>
          <t>Count Mid-Tier Accounts ($10,000 - $30,000 Balance)</t>
        </is>
      </c>
      <c r="D30" s="16">
        <f>COUNTIFS(CleanedTransactions[Post_Transaction_Balance], "&gt;=10000", CleanedTransactions[Post_Transaction_Balance], "&lt;=30000")</f>
        <v/>
      </c>
    </row>
    <row r="31">
      <c r="A31" s="15" t="inlineStr">
        <is>
          <t>Investment Volume Tracking (Deposit/Checking equivalent)</t>
        </is>
      </c>
      <c r="D31" s="19">
        <f>SUMIF(CleanedTransactions[Account_Type], "Investment", CleanedTransactions[Amount_USD])</f>
        <v/>
      </c>
    </row>
    <row r="32">
      <c r="A32" s="15" t="inlineStr">
        <is>
          <t>Dynamic Error Bounds Checking (Negative Balances)</t>
        </is>
      </c>
      <c r="D32" s="16">
        <f>COUNTIF(CleanedTransactions[Post_Transaction_Balance], "&lt;0")</f>
        <v/>
      </c>
    </row>
  </sheetData>
  <mergeCells count="35">
    <mergeCell ref="A25:C25"/>
    <mergeCell ref="A1:D2"/>
    <mergeCell ref="C5:D5"/>
    <mergeCell ref="E5:F5"/>
    <mergeCell ref="A18:C18"/>
    <mergeCell ref="A27:C27"/>
    <mergeCell ref="A21:C21"/>
    <mergeCell ref="A12:C12"/>
    <mergeCell ref="A26:C26"/>
    <mergeCell ref="C4:D4"/>
    <mergeCell ref="E4:F4"/>
    <mergeCell ref="A23:C23"/>
    <mergeCell ref="A32:C32"/>
    <mergeCell ref="A8:C8"/>
    <mergeCell ref="A14:C14"/>
    <mergeCell ref="A22:C22"/>
    <mergeCell ref="A17:C17"/>
    <mergeCell ref="A29:C29"/>
    <mergeCell ref="A20:C20"/>
    <mergeCell ref="A10:C10"/>
    <mergeCell ref="A28:C28"/>
    <mergeCell ref="A13:C13"/>
    <mergeCell ref="A19:C19"/>
    <mergeCell ref="A31:C31"/>
    <mergeCell ref="A5:B5"/>
    <mergeCell ref="G5:H5"/>
    <mergeCell ref="A9:C9"/>
    <mergeCell ref="A30:C30"/>
    <mergeCell ref="A15:C15"/>
    <mergeCell ref="A24:C24"/>
    <mergeCell ref="A4:B4"/>
    <mergeCell ref="G4:H4"/>
    <mergeCell ref="A11:C11"/>
    <mergeCell ref="A7:C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2" customWidth="1" min="4" max="4"/>
  </cols>
  <sheetData>
    <row r="1">
      <c r="A1" s="14" t="inlineStr">
        <is>
          <t>INTERACTIVE TRANSACTION SEARCH DEPLOYMENT ENGINE</t>
        </is>
      </c>
    </row>
    <row r="2"/>
    <row r="3">
      <c r="A3" s="20" t="inlineStr">
        <is>
          <t>ENTER TARGET TRANSACTION_ID:</t>
        </is>
      </c>
      <c r="C3" s="21" t="inlineStr">
        <is>
          <t>TXN100050</t>
        </is>
      </c>
    </row>
    <row r="4"/>
    <row r="5"/>
    <row r="6">
      <c r="A6" s="15" t="inlineStr">
        <is>
          <t>Customer ID Extraction (=XLOOKUP Matrix)</t>
        </is>
      </c>
      <c r="C6" s="22">
        <f>XLOOKUP(C3, CleanedTransactions[Transaction_ID], CleanedTransactions[Customer_ID], "Not Found")</f>
        <v/>
      </c>
    </row>
    <row r="7">
      <c r="A7" s="15" t="inlineStr">
        <is>
          <t>Post-Transaction Balance (=VLOOKUP System)</t>
        </is>
      </c>
      <c r="C7" s="23">
        <f>VLOOKUP(C3, CleanedTransactions, 12, FALSE)</f>
        <v/>
      </c>
    </row>
    <row r="8">
      <c r="A8" s="15" t="inlineStr">
        <is>
          <t>Channel Extraction (=INDEX/MATCH Array)</t>
        </is>
      </c>
      <c r="C8" s="22">
        <f>INDEX(CleanedTransactions[Channel], MATCH(C3, CleanedTransactions[Transaction_ID], 0))</f>
        <v/>
      </c>
    </row>
  </sheetData>
  <mergeCells count="4">
    <mergeCell ref="A1:D1"/>
    <mergeCell ref="A8:B8"/>
    <mergeCell ref="A6:B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2026-06-06T13:23:27Z</dcterms:created>
  <dcterms:modified xmlns:dcterms="http://purl.org/dc/terms/" xmlns:xsi="http://www.w3.org/2001/XMLSchema-instance" xsi:type="dcterms:W3CDTF">2026-06-06T13:23:29Z</dcterms:modified>
</cp:coreProperties>
</file>